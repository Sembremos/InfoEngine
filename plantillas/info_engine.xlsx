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6730148\Downloads\"/>
    </mc:Choice>
  </mc:AlternateContent>
  <xr:revisionPtr revIDLastSave="0" documentId="13_ncr:1_{52DD8482-271F-4B5F-9F81-23D8EC73E2BD}" xr6:coauthVersionLast="47" xr6:coauthVersionMax="47" xr10:uidLastSave="{00000000-0000-0000-0000-000000000000}"/>
  <bookViews>
    <workbookView xWindow="28680" yWindow="-120" windowWidth="29040" windowHeight="15720" xr2:uid="{81280AC2-A699-4B9A-8871-5E85D8A4855A}"/>
  </bookViews>
  <sheets>
    <sheet name="Hoja1" sheetId="1" r:id="rId1"/>
    <sheet name="pareto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3" i="1" l="1"/>
  <c r="J219" i="1"/>
  <c r="J218" i="1"/>
  <c r="J217" i="1"/>
  <c r="J216" i="1"/>
  <c r="J215" i="1"/>
  <c r="J214" i="1"/>
  <c r="J213" i="1"/>
  <c r="J212" i="1"/>
  <c r="J211" i="1"/>
  <c r="J210" i="1"/>
  <c r="J209" i="1"/>
  <c r="J208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A209" i="1"/>
  <c r="A210" i="1"/>
  <c r="A211" i="1"/>
  <c r="A212" i="1"/>
  <c r="A213" i="1"/>
  <c r="A214" i="1"/>
  <c r="A215" i="1"/>
  <c r="A216" i="1"/>
  <c r="A217" i="1"/>
  <c r="A218" i="1"/>
  <c r="A219" i="1"/>
  <c r="A208" i="1"/>
  <c r="BV244" i="1"/>
  <c r="BV243" i="1"/>
  <c r="BV242" i="1"/>
  <c r="BU244" i="1"/>
  <c r="BU243" i="1"/>
  <c r="BU242" i="1"/>
  <c r="BP244" i="1"/>
  <c r="BP243" i="1"/>
  <c r="BP242" i="1"/>
  <c r="BO244" i="1"/>
  <c r="BO243" i="1"/>
  <c r="BO242" i="1"/>
  <c r="BJ244" i="1"/>
  <c r="BJ243" i="1"/>
  <c r="BJ242" i="1"/>
  <c r="BI244" i="1"/>
  <c r="BI243" i="1"/>
  <c r="BI242" i="1"/>
  <c r="BD244" i="1"/>
  <c r="BD243" i="1"/>
  <c r="BD242" i="1"/>
  <c r="BC244" i="1"/>
  <c r="BC243" i="1"/>
  <c r="BC242" i="1"/>
  <c r="AX244" i="1"/>
  <c r="AX243" i="1"/>
  <c r="AX242" i="1"/>
  <c r="AW244" i="1"/>
  <c r="AW243" i="1"/>
  <c r="AW242" i="1"/>
  <c r="AR244" i="1"/>
  <c r="AR243" i="1"/>
  <c r="AR242" i="1"/>
  <c r="AQ244" i="1"/>
  <c r="AQ243" i="1"/>
  <c r="AQ242" i="1"/>
  <c r="AL244" i="1"/>
  <c r="AL243" i="1"/>
  <c r="AL242" i="1"/>
  <c r="AK244" i="1"/>
  <c r="AK243" i="1"/>
  <c r="AK242" i="1"/>
  <c r="AF244" i="1"/>
  <c r="AF243" i="1"/>
  <c r="AF242" i="1"/>
  <c r="AE244" i="1"/>
  <c r="AE243" i="1"/>
  <c r="AE242" i="1"/>
  <c r="Z244" i="1"/>
  <c r="Z243" i="1"/>
  <c r="Z242" i="1"/>
  <c r="Y244" i="1"/>
  <c r="Y243" i="1"/>
  <c r="Y242" i="1"/>
  <c r="T244" i="1"/>
  <c r="T243" i="1"/>
  <c r="T242" i="1"/>
  <c r="S244" i="1"/>
  <c r="S243" i="1"/>
  <c r="S242" i="1"/>
  <c r="N244" i="1"/>
  <c r="N243" i="1"/>
  <c r="N242" i="1"/>
  <c r="M244" i="1"/>
  <c r="M243" i="1"/>
  <c r="M242" i="1"/>
  <c r="H244" i="1"/>
  <c r="H243" i="1"/>
  <c r="H242" i="1"/>
  <c r="G244" i="1"/>
  <c r="G242" i="1"/>
  <c r="G240" i="1"/>
  <c r="F240" i="1"/>
  <c r="B93" i="1"/>
  <c r="B178" i="1"/>
  <c r="C166" i="1" s="1"/>
  <c r="B399" i="1"/>
  <c r="B400" i="1"/>
  <c r="C399" i="1"/>
  <c r="C400" i="1"/>
  <c r="C401" i="1"/>
  <c r="B401" i="1" s="1"/>
  <c r="C402" i="1"/>
  <c r="B402" i="1" s="1"/>
  <c r="C398" i="1"/>
  <c r="B398" i="1" s="1"/>
  <c r="D403" i="1"/>
  <c r="U242" i="1" l="1"/>
  <c r="U243" i="1"/>
  <c r="C177" i="1"/>
  <c r="C176" i="1"/>
  <c r="C175" i="1"/>
  <c r="C174" i="1"/>
  <c r="C173" i="1"/>
  <c r="C172" i="1"/>
  <c r="C171" i="1"/>
  <c r="C170" i="1"/>
  <c r="C169" i="1"/>
  <c r="C168" i="1"/>
  <c r="C167" i="1"/>
  <c r="C165" i="1"/>
  <c r="D393" i="1"/>
  <c r="C392" i="1"/>
  <c r="C391" i="1"/>
  <c r="C390" i="1"/>
  <c r="C389" i="1"/>
  <c r="C388" i="1"/>
  <c r="B388" i="1" s="1"/>
  <c r="C387" i="1"/>
  <c r="C386" i="1"/>
  <c r="B391" i="1" l="1"/>
  <c r="B389" i="1"/>
  <c r="B392" i="1"/>
  <c r="B386" i="1"/>
  <c r="B387" i="1"/>
  <c r="B390" i="1"/>
  <c r="B291" i="1"/>
  <c r="C296" i="1"/>
  <c r="B292" i="1" s="1"/>
  <c r="C288" i="1"/>
  <c r="B284" i="1" s="1"/>
  <c r="D360" i="1"/>
  <c r="E360" i="1"/>
  <c r="C358" i="1"/>
  <c r="C359" i="1"/>
  <c r="C357" i="1"/>
  <c r="N301" i="1"/>
  <c r="M301" i="1" s="1"/>
  <c r="N302" i="1"/>
  <c r="I302" i="1" s="1"/>
  <c r="N303" i="1"/>
  <c r="I303" i="1" s="1"/>
  <c r="N304" i="1"/>
  <c r="I304" i="1" s="1"/>
  <c r="N305" i="1"/>
  <c r="E305" i="1" s="1"/>
  <c r="N306" i="1"/>
  <c r="E306" i="1" s="1"/>
  <c r="N307" i="1"/>
  <c r="E307" i="1" s="1"/>
  <c r="N308" i="1"/>
  <c r="E308" i="1" s="1"/>
  <c r="N309" i="1"/>
  <c r="I309" i="1" s="1"/>
  <c r="N310" i="1"/>
  <c r="I310" i="1" s="1"/>
  <c r="N311" i="1"/>
  <c r="I311" i="1" s="1"/>
  <c r="N300" i="1"/>
  <c r="E300" i="1" s="1"/>
  <c r="C306" i="1"/>
  <c r="C307" i="1"/>
  <c r="C308" i="1"/>
  <c r="C309" i="1"/>
  <c r="C310" i="1"/>
  <c r="C311" i="1"/>
  <c r="G304" i="1"/>
  <c r="G306" i="1"/>
  <c r="G307" i="1"/>
  <c r="G308" i="1"/>
  <c r="G309" i="1"/>
  <c r="I306" i="1"/>
  <c r="I307" i="1"/>
  <c r="I308" i="1"/>
  <c r="K306" i="1"/>
  <c r="K307" i="1"/>
  <c r="K308" i="1"/>
  <c r="K309" i="1"/>
  <c r="K310" i="1"/>
  <c r="K311" i="1"/>
  <c r="M306" i="1"/>
  <c r="M307" i="1"/>
  <c r="M308" i="1"/>
  <c r="M309" i="1"/>
  <c r="M310" i="1"/>
  <c r="J246" i="1"/>
  <c r="B224" i="1"/>
  <c r="B225" i="1"/>
  <c r="B226" i="1"/>
  <c r="B227" i="1"/>
  <c r="B228" i="1"/>
  <c r="B229" i="1"/>
  <c r="B223" i="1"/>
  <c r="B197" i="1"/>
  <c r="B198" i="1"/>
  <c r="B199" i="1"/>
  <c r="B200" i="1"/>
  <c r="B201" i="1"/>
  <c r="B202" i="1"/>
  <c r="B203" i="1"/>
  <c r="B204" i="1"/>
  <c r="B196" i="1"/>
  <c r="B181" i="1"/>
  <c r="B182" i="1"/>
  <c r="B183" i="1"/>
  <c r="B184" i="1"/>
  <c r="B185" i="1"/>
  <c r="B186" i="1"/>
  <c r="B187" i="1"/>
  <c r="B188" i="1"/>
  <c r="B180" i="1"/>
  <c r="M305" i="1" l="1"/>
  <c r="M304" i="1"/>
  <c r="M303" i="1"/>
  <c r="E303" i="1"/>
  <c r="C303" i="1"/>
  <c r="B295" i="1"/>
  <c r="C302" i="1"/>
  <c r="B294" i="1"/>
  <c r="G305" i="1"/>
  <c r="G303" i="1"/>
  <c r="G302" i="1"/>
  <c r="M302" i="1"/>
  <c r="E304" i="1"/>
  <c r="E302" i="1"/>
  <c r="B283" i="1"/>
  <c r="B287" i="1"/>
  <c r="K305" i="1"/>
  <c r="B286" i="1"/>
  <c r="K304" i="1"/>
  <c r="B285" i="1"/>
  <c r="K303" i="1"/>
  <c r="C305" i="1"/>
  <c r="K302" i="1"/>
  <c r="C304" i="1"/>
  <c r="B293" i="1"/>
  <c r="I305" i="1"/>
  <c r="G311" i="1"/>
  <c r="M311" i="1"/>
  <c r="G310" i="1"/>
  <c r="K301" i="1"/>
  <c r="G301" i="1"/>
  <c r="E301" i="1"/>
  <c r="C301" i="1"/>
  <c r="I301" i="1"/>
  <c r="C300" i="1"/>
  <c r="I300" i="1"/>
  <c r="M300" i="1"/>
  <c r="G300" i="1"/>
  <c r="K300" i="1"/>
  <c r="E310" i="1"/>
  <c r="E311" i="1"/>
  <c r="E309" i="1"/>
  <c r="D181" i="1"/>
  <c r="E181" i="1"/>
  <c r="V246" i="1"/>
  <c r="BX246" i="1"/>
  <c r="BR246" i="1"/>
  <c r="BL246" i="1"/>
  <c r="BF246" i="1"/>
  <c r="AZ246" i="1"/>
  <c r="AT246" i="1"/>
  <c r="AN246" i="1"/>
  <c r="AB246" i="1"/>
  <c r="P246" i="1"/>
  <c r="AH246" i="1"/>
  <c r="B190" i="1"/>
  <c r="D180" i="1" s="1"/>
  <c r="G190" i="1"/>
  <c r="G192" i="1" s="1"/>
  <c r="H190" i="1"/>
  <c r="H192" i="1" s="1"/>
  <c r="I190" i="1"/>
  <c r="I192" i="1" s="1"/>
  <c r="J190" i="1"/>
  <c r="J191" i="1" s="1"/>
  <c r="K190" i="1"/>
  <c r="K192" i="1" s="1"/>
  <c r="L190" i="1"/>
  <c r="L192" i="1" s="1"/>
  <c r="M190" i="1"/>
  <c r="M192" i="1" s="1"/>
  <c r="N190" i="1"/>
  <c r="N192" i="1" s="1"/>
  <c r="O190" i="1"/>
  <c r="O192" i="1" s="1"/>
  <c r="P190" i="1"/>
  <c r="P192" i="1" s="1"/>
  <c r="Q190" i="1"/>
  <c r="Q192" i="1" s="1"/>
  <c r="F190" i="1"/>
  <c r="F191" i="1" s="1"/>
  <c r="I12" i="1"/>
  <c r="H8" i="1" s="1"/>
  <c r="E180" i="1" l="1"/>
  <c r="F192" i="1"/>
  <c r="I191" i="1"/>
  <c r="J192" i="1"/>
  <c r="K191" i="1"/>
  <c r="L191" i="1"/>
  <c r="M191" i="1"/>
  <c r="N191" i="1"/>
  <c r="O191" i="1"/>
  <c r="G191" i="1"/>
  <c r="H191" i="1"/>
  <c r="P191" i="1"/>
  <c r="Q191" i="1"/>
  <c r="H9" i="1"/>
  <c r="H11" i="1"/>
  <c r="H10" i="1"/>
  <c r="H12" i="1" s="1"/>
  <c r="D422" i="1"/>
  <c r="C421" i="1"/>
  <c r="C420" i="1"/>
  <c r="C422" i="1" s="1"/>
  <c r="D415" i="1"/>
  <c r="C414" i="1"/>
  <c r="C413" i="1"/>
  <c r="D408" i="1"/>
  <c r="C407" i="1"/>
  <c r="C406" i="1"/>
  <c r="C408" i="1" s="1"/>
  <c r="E383" i="1"/>
  <c r="D383" i="1"/>
  <c r="C382" i="1"/>
  <c r="C381" i="1"/>
  <c r="E376" i="1"/>
  <c r="D376" i="1"/>
  <c r="C375" i="1"/>
  <c r="C374" i="1"/>
  <c r="C373" i="1"/>
  <c r="E368" i="1"/>
  <c r="D368" i="1"/>
  <c r="C367" i="1"/>
  <c r="C366" i="1"/>
  <c r="C365" i="1"/>
  <c r="C364" i="1"/>
  <c r="C363" i="1"/>
  <c r="C356" i="1"/>
  <c r="C355" i="1"/>
  <c r="C354" i="1"/>
  <c r="C353" i="1"/>
  <c r="C352" i="1"/>
  <c r="C351" i="1"/>
  <c r="C350" i="1"/>
  <c r="E345" i="1"/>
  <c r="D345" i="1"/>
  <c r="C344" i="1"/>
  <c r="C343" i="1"/>
  <c r="C342" i="1"/>
  <c r="C341" i="1"/>
  <c r="C340" i="1"/>
  <c r="C339" i="1"/>
  <c r="C338" i="1"/>
  <c r="C337" i="1"/>
  <c r="C336" i="1"/>
  <c r="E331" i="1"/>
  <c r="D331" i="1"/>
  <c r="C330" i="1"/>
  <c r="C329" i="1"/>
  <c r="C328" i="1"/>
  <c r="C327" i="1"/>
  <c r="C326" i="1"/>
  <c r="C325" i="1"/>
  <c r="C324" i="1"/>
  <c r="C323" i="1"/>
  <c r="E317" i="1"/>
  <c r="D317" i="1"/>
  <c r="C316" i="1"/>
  <c r="C315" i="1"/>
  <c r="C314" i="1"/>
  <c r="BT244" i="1"/>
  <c r="BT243" i="1"/>
  <c r="BT242" i="1"/>
  <c r="BN244" i="1"/>
  <c r="BN243" i="1"/>
  <c r="BN242" i="1"/>
  <c r="BH244" i="1"/>
  <c r="BH243" i="1"/>
  <c r="BH242" i="1"/>
  <c r="BB244" i="1"/>
  <c r="BB243" i="1"/>
  <c r="BB242" i="1"/>
  <c r="AV244" i="1"/>
  <c r="AV243" i="1"/>
  <c r="AV242" i="1"/>
  <c r="AP244" i="1"/>
  <c r="AP243" i="1"/>
  <c r="AP242" i="1"/>
  <c r="AJ244" i="1"/>
  <c r="AJ243" i="1"/>
  <c r="AJ242" i="1"/>
  <c r="AD244" i="1"/>
  <c r="AD243" i="1"/>
  <c r="AD242" i="1"/>
  <c r="X244" i="1"/>
  <c r="X243" i="1"/>
  <c r="X242" i="1"/>
  <c r="R244" i="1"/>
  <c r="R243" i="1"/>
  <c r="R242" i="1"/>
  <c r="L244" i="1"/>
  <c r="L243" i="1"/>
  <c r="L242" i="1"/>
  <c r="BW244" i="1"/>
  <c r="BW243" i="1"/>
  <c r="BW242" i="1"/>
  <c r="BQ244" i="1"/>
  <c r="BQ243" i="1"/>
  <c r="BQ242" i="1"/>
  <c r="BK244" i="1"/>
  <c r="BK243" i="1"/>
  <c r="BK242" i="1"/>
  <c r="BE244" i="1"/>
  <c r="BE243" i="1"/>
  <c r="BE242" i="1"/>
  <c r="AY244" i="1"/>
  <c r="AY243" i="1"/>
  <c r="AY242" i="1"/>
  <c r="AS244" i="1"/>
  <c r="AS243" i="1"/>
  <c r="AS242" i="1"/>
  <c r="AM244" i="1"/>
  <c r="AM243" i="1"/>
  <c r="AM242" i="1"/>
  <c r="AG244" i="1"/>
  <c r="AG243" i="1"/>
  <c r="AG242" i="1"/>
  <c r="AA244" i="1"/>
  <c r="AA243" i="1"/>
  <c r="AA242" i="1"/>
  <c r="U244" i="1"/>
  <c r="O244" i="1"/>
  <c r="O243" i="1"/>
  <c r="O242" i="1"/>
  <c r="B314" i="1" l="1"/>
  <c r="B315" i="1"/>
  <c r="B316" i="1"/>
  <c r="C383" i="1"/>
  <c r="C317" i="1"/>
  <c r="C331" i="1"/>
  <c r="G322" i="1" s="1"/>
  <c r="B330" i="1"/>
  <c r="B324" i="1"/>
  <c r="B328" i="1"/>
  <c r="B329" i="1"/>
  <c r="B325" i="1"/>
  <c r="B326" i="1"/>
  <c r="B327" i="1"/>
  <c r="B382" i="1"/>
  <c r="B407" i="1"/>
  <c r="B421" i="1"/>
  <c r="C376" i="1"/>
  <c r="B376" i="1" s="1"/>
  <c r="C415" i="1"/>
  <c r="B413" i="1" s="1"/>
  <c r="B381" i="1"/>
  <c r="C345" i="1"/>
  <c r="B344" i="1" s="1"/>
  <c r="B420" i="1"/>
  <c r="B422" i="1" s="1"/>
  <c r="B406" i="1"/>
  <c r="B408" i="1" s="1"/>
  <c r="B323" i="1"/>
  <c r="C368" i="1"/>
  <c r="I243" i="1"/>
  <c r="I244" i="1"/>
  <c r="I242" i="1"/>
  <c r="H240" i="1"/>
  <c r="P244" i="1" s="1"/>
  <c r="G349" i="1" l="1"/>
  <c r="B383" i="1"/>
  <c r="G387" i="1"/>
  <c r="C360" i="1"/>
  <c r="B331" i="1"/>
  <c r="B373" i="1"/>
  <c r="B375" i="1"/>
  <c r="B374" i="1"/>
  <c r="B343" i="1"/>
  <c r="B337" i="1"/>
  <c r="B336" i="1"/>
  <c r="B339" i="1"/>
  <c r="B342" i="1"/>
  <c r="B414" i="1"/>
  <c r="B415" i="1" s="1"/>
  <c r="B364" i="1"/>
  <c r="B365" i="1"/>
  <c r="B366" i="1"/>
  <c r="B367" i="1"/>
  <c r="B363" i="1"/>
  <c r="B340" i="1"/>
  <c r="B341" i="1"/>
  <c r="B338" i="1"/>
  <c r="BF242" i="1"/>
  <c r="J244" i="1"/>
  <c r="BL242" i="1"/>
  <c r="AZ242" i="1"/>
  <c r="AN242" i="1"/>
  <c r="AB243" i="1"/>
  <c r="BL243" i="1"/>
  <c r="J242" i="1"/>
  <c r="J243" i="1"/>
  <c r="BF244" i="1"/>
  <c r="AN244" i="1"/>
  <c r="AH244" i="1"/>
  <c r="AB244" i="1"/>
  <c r="BF243" i="1"/>
  <c r="BR242" i="1"/>
  <c r="BX243" i="1"/>
  <c r="BX242" i="1"/>
  <c r="BR243" i="1"/>
  <c r="BL244" i="1"/>
  <c r="P242" i="1"/>
  <c r="AH242" i="1"/>
  <c r="AZ244" i="1"/>
  <c r="AB242" i="1"/>
  <c r="AT244" i="1"/>
  <c r="AZ243" i="1"/>
  <c r="AT243" i="1"/>
  <c r="AT242" i="1"/>
  <c r="AN243" i="1"/>
  <c r="BX244" i="1"/>
  <c r="V243" i="1"/>
  <c r="AH243" i="1"/>
  <c r="V242" i="1"/>
  <c r="V244" i="1"/>
  <c r="P243" i="1"/>
  <c r="BR244" i="1"/>
  <c r="B368" i="1" l="1"/>
  <c r="B352" i="1"/>
  <c r="B353" i="1"/>
  <c r="B354" i="1"/>
  <c r="B355" i="1"/>
  <c r="B356" i="1"/>
  <c r="B357" i="1"/>
  <c r="B358" i="1"/>
  <c r="B359" i="1"/>
  <c r="B351" i="1"/>
  <c r="B350" i="1"/>
  <c r="B345" i="1"/>
  <c r="F244" i="1"/>
  <c r="F243" i="1"/>
  <c r="F242" i="1"/>
  <c r="D239" i="1"/>
  <c r="D230" i="1"/>
  <c r="E230" i="1"/>
  <c r="F230" i="1"/>
  <c r="G230" i="1"/>
  <c r="H230" i="1"/>
  <c r="I230" i="1"/>
  <c r="J230" i="1"/>
  <c r="K230" i="1"/>
  <c r="L230" i="1"/>
  <c r="M230" i="1"/>
  <c r="N230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E205" i="1"/>
  <c r="F205" i="1"/>
  <c r="G205" i="1"/>
  <c r="H205" i="1"/>
  <c r="I205" i="1"/>
  <c r="J205" i="1"/>
  <c r="K205" i="1"/>
  <c r="L205" i="1"/>
  <c r="M205" i="1"/>
  <c r="N205" i="1"/>
  <c r="O205" i="1"/>
  <c r="D205" i="1"/>
  <c r="Q189" i="1"/>
  <c r="G189" i="1"/>
  <c r="H189" i="1"/>
  <c r="I189" i="1"/>
  <c r="J189" i="1"/>
  <c r="K189" i="1"/>
  <c r="L189" i="1"/>
  <c r="M189" i="1"/>
  <c r="N189" i="1"/>
  <c r="O189" i="1"/>
  <c r="P189" i="1"/>
  <c r="F189" i="1"/>
  <c r="B230" i="1"/>
  <c r="C229" i="1" s="1"/>
  <c r="B205" i="1"/>
  <c r="C203" i="1" s="1"/>
  <c r="B189" i="1"/>
  <c r="C186" i="1" s="1"/>
  <c r="J132" i="1" a="1"/>
  <c r="J132" i="1" s="1"/>
  <c r="J135" i="1" a="1"/>
  <c r="J135" i="1" s="1"/>
  <c r="J138" i="1" a="1"/>
  <c r="J138" i="1" s="1"/>
  <c r="J140" i="1" a="1"/>
  <c r="J140" i="1" s="1"/>
  <c r="I124" i="1" a="1"/>
  <c r="I124" i="1" s="1"/>
  <c r="J124" i="1" s="1" a="1"/>
  <c r="J124" i="1" s="1"/>
  <c r="G124" i="1"/>
  <c r="H124" i="1" s="1" a="1"/>
  <c r="H124" i="1" s="1"/>
  <c r="J134" i="1" l="1" a="1"/>
  <c r="J134" i="1" s="1"/>
  <c r="J131" i="1" a="1"/>
  <c r="J131" i="1" s="1"/>
  <c r="J130" i="1" a="1"/>
  <c r="J130" i="1" s="1"/>
  <c r="J137" i="1" a="1"/>
  <c r="J137" i="1" s="1"/>
  <c r="J128" i="1" a="1"/>
  <c r="J128" i="1" s="1"/>
  <c r="J127" i="1" a="1"/>
  <c r="J127" i="1" s="1"/>
  <c r="F231" i="1"/>
  <c r="N231" i="1"/>
  <c r="C196" i="1"/>
  <c r="C201" i="1"/>
  <c r="C199" i="1"/>
  <c r="C198" i="1"/>
  <c r="C197" i="1"/>
  <c r="I231" i="1"/>
  <c r="J231" i="1"/>
  <c r="H231" i="1"/>
  <c r="C200" i="1"/>
  <c r="L231" i="1"/>
  <c r="K231" i="1"/>
  <c r="E231" i="1"/>
  <c r="G231" i="1"/>
  <c r="J133" i="1" a="1"/>
  <c r="J133" i="1" s="1"/>
  <c r="C202" i="1"/>
  <c r="D231" i="1"/>
  <c r="M231" i="1"/>
  <c r="J139" i="1" a="1"/>
  <c r="J139" i="1" s="1"/>
  <c r="J136" i="1" a="1"/>
  <c r="J136" i="1" s="1"/>
  <c r="J129" i="1" a="1"/>
  <c r="J129" i="1" s="1"/>
  <c r="J126" i="1" a="1"/>
  <c r="J126" i="1" s="1"/>
  <c r="J125" i="1" a="1"/>
  <c r="J125" i="1" s="1"/>
  <c r="C223" i="1"/>
  <c r="C228" i="1"/>
  <c r="C227" i="1"/>
  <c r="C180" i="1"/>
  <c r="C226" i="1"/>
  <c r="C188" i="1"/>
  <c r="C225" i="1"/>
  <c r="C187" i="1"/>
  <c r="C224" i="1"/>
  <c r="C185" i="1"/>
  <c r="C184" i="1"/>
  <c r="C183" i="1"/>
  <c r="C182" i="1"/>
  <c r="C181" i="1"/>
  <c r="C204" i="1"/>
  <c r="G125" i="1"/>
  <c r="H125" i="1" s="1" a="1"/>
  <c r="H125" i="1" s="1"/>
  <c r="G126" i="1"/>
  <c r="H126" i="1" s="1" a="1"/>
  <c r="H126" i="1" s="1"/>
  <c r="G127" i="1"/>
  <c r="H127" i="1" s="1" a="1"/>
  <c r="H127" i="1" s="1"/>
  <c r="G128" i="1"/>
  <c r="H128" i="1" s="1" a="1"/>
  <c r="H128" i="1" s="1"/>
  <c r="G129" i="1"/>
  <c r="H129" i="1" s="1" a="1"/>
  <c r="H129" i="1" s="1"/>
  <c r="G130" i="1"/>
  <c r="H130" i="1" s="1" a="1"/>
  <c r="H130" i="1" s="1"/>
  <c r="G131" i="1"/>
  <c r="H131" i="1" s="1" a="1"/>
  <c r="H131" i="1" s="1"/>
  <c r="G132" i="1"/>
  <c r="H132" i="1" s="1" a="1"/>
  <c r="H132" i="1" s="1"/>
  <c r="G133" i="1"/>
  <c r="H133" i="1" s="1" a="1"/>
  <c r="H133" i="1" s="1"/>
  <c r="G134" i="1"/>
  <c r="H134" i="1" s="1" a="1"/>
  <c r="H134" i="1" s="1"/>
  <c r="G135" i="1"/>
  <c r="H135" i="1" s="1" a="1"/>
  <c r="H135" i="1" s="1"/>
  <c r="G136" i="1"/>
  <c r="H136" i="1" s="1" a="1"/>
  <c r="H136" i="1" s="1"/>
  <c r="G137" i="1"/>
  <c r="H137" i="1" s="1" a="1"/>
  <c r="H137" i="1" s="1"/>
  <c r="G138" i="1"/>
  <c r="H138" i="1" s="1" a="1"/>
  <c r="H138" i="1" s="1"/>
  <c r="G139" i="1"/>
  <c r="H139" i="1" s="1" a="1"/>
  <c r="H139" i="1" s="1"/>
  <c r="G140" i="1"/>
  <c r="H140" i="1" s="1" a="1"/>
  <c r="H140" i="1" s="1"/>
  <c r="L141" i="1" l="1"/>
  <c r="K141" i="1"/>
  <c r="O230" i="1"/>
  <c r="C205" i="1"/>
  <c r="C189" i="1"/>
  <c r="C230" i="1"/>
  <c r="B88" i="1"/>
  <c r="A93" i="1" s="1"/>
  <c r="C87" i="1"/>
  <c r="O231" i="1" l="1"/>
  <c r="P231" i="1" s="1"/>
  <c r="P230" i="1"/>
  <c r="M141" i="1"/>
  <c r="A147" i="1" s="1"/>
  <c r="B118" i="1"/>
  <c r="C118" i="1" l="1"/>
  <c r="D118" i="1" s="1"/>
  <c r="B119" i="1" l="1"/>
  <c r="C93" i="1"/>
  <c r="C119" i="1"/>
  <c r="D119" i="1" s="1"/>
  <c r="F55" i="1" l="1"/>
  <c r="E55" i="1"/>
  <c r="D55" i="1"/>
  <c r="C54" i="1"/>
  <c r="C53" i="1"/>
  <c r="C52" i="1"/>
  <c r="F47" i="1"/>
  <c r="E47" i="1"/>
  <c r="D47" i="1"/>
  <c r="C46" i="1"/>
  <c r="C45" i="1"/>
  <c r="C44" i="1"/>
  <c r="C43" i="1"/>
  <c r="C42" i="1"/>
  <c r="C41" i="1"/>
  <c r="C40" i="1"/>
  <c r="C39" i="1"/>
  <c r="C30" i="1"/>
  <c r="C29" i="1"/>
  <c r="F34" i="1"/>
  <c r="E34" i="1"/>
  <c r="D34" i="1"/>
  <c r="C33" i="1"/>
  <c r="C32" i="1"/>
  <c r="C31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8" i="1"/>
  <c r="C34" i="1" l="1"/>
  <c r="B31" i="1"/>
  <c r="B30" i="1"/>
  <c r="B29" i="1"/>
  <c r="B33" i="1"/>
  <c r="B32" i="1"/>
  <c r="C55" i="1"/>
  <c r="B53" i="1" s="1"/>
  <c r="C47" i="1"/>
  <c r="C24" i="1"/>
  <c r="B19" i="1" s="1"/>
  <c r="B34" i="1" l="1"/>
  <c r="B40" i="1"/>
  <c r="B39" i="1"/>
  <c r="B41" i="1"/>
  <c r="B18" i="1"/>
  <c r="B21" i="1"/>
  <c r="B46" i="1"/>
  <c r="B54" i="1"/>
  <c r="B43" i="1"/>
  <c r="B52" i="1"/>
  <c r="B55" i="1" s="1"/>
  <c r="B44" i="1"/>
  <c r="B42" i="1"/>
  <c r="B45" i="1"/>
  <c r="B13" i="1"/>
  <c r="B17" i="1"/>
  <c r="B11" i="1"/>
  <c r="B12" i="1"/>
  <c r="B15" i="1"/>
  <c r="B9" i="1"/>
  <c r="B16" i="1"/>
  <c r="B10" i="1"/>
  <c r="B14" i="1"/>
  <c r="B20" i="1"/>
  <c r="B8" i="1"/>
  <c r="B22" i="1"/>
  <c r="B23" i="1"/>
  <c r="B24" i="1" l="1"/>
  <c r="B47" i="1"/>
  <c r="D24" i="1" l="1"/>
  <c r="E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<sst xmlns="http://schemas.openxmlformats.org/spreadsheetml/2006/main" count="970" uniqueCount="587">
  <si>
    <t>Cantón</t>
  </si>
  <si>
    <t>Delegación</t>
  </si>
  <si>
    <t>Participacion</t>
  </si>
  <si>
    <t>DISTRITO</t>
  </si>
  <si>
    <t>Distrito</t>
  </si>
  <si>
    <t>%</t>
  </si>
  <si>
    <t>Total</t>
  </si>
  <si>
    <t>Comercio</t>
  </si>
  <si>
    <t>Comunidad</t>
  </si>
  <si>
    <t>San Isidro</t>
  </si>
  <si>
    <t>San Rafael</t>
  </si>
  <si>
    <t>San Ramón</t>
  </si>
  <si>
    <t>Participación por edad</t>
  </si>
  <si>
    <t>FP</t>
  </si>
  <si>
    <t>Escolaridad</t>
  </si>
  <si>
    <t>Ninguna</t>
  </si>
  <si>
    <t>Primaria</t>
  </si>
  <si>
    <t>Primaria incompleta</t>
  </si>
  <si>
    <t>Secundaria completa</t>
  </si>
  <si>
    <t>Secundaria incompleta</t>
  </si>
  <si>
    <t>Técnico</t>
  </si>
  <si>
    <t>Universidad</t>
  </si>
  <si>
    <t>Universidad incompleta</t>
  </si>
  <si>
    <t>Genero</t>
  </si>
  <si>
    <t>Masculino</t>
  </si>
  <si>
    <t>Femenino</t>
  </si>
  <si>
    <t>LGBTQ+</t>
  </si>
  <si>
    <t>Proceso Metodológico</t>
  </si>
  <si>
    <t>Población</t>
  </si>
  <si>
    <t>Requeridas</t>
  </si>
  <si>
    <t>Realizadas</t>
  </si>
  <si>
    <t>Encuestas</t>
  </si>
  <si>
    <t>Otras</t>
  </si>
  <si>
    <t>Policial</t>
  </si>
  <si>
    <t>Fuentes</t>
  </si>
  <si>
    <t>Pareto</t>
  </si>
  <si>
    <t>SAE</t>
  </si>
  <si>
    <t>OPO</t>
  </si>
  <si>
    <t>Datos Pareto</t>
  </si>
  <si>
    <t>Descriptores</t>
  </si>
  <si>
    <t>Registrados</t>
  </si>
  <si>
    <t>20/80</t>
  </si>
  <si>
    <t>Datos</t>
  </si>
  <si>
    <t>Delitos</t>
  </si>
  <si>
    <t xml:space="preserve">Riesgos </t>
  </si>
  <si>
    <t>Hurto</t>
  </si>
  <si>
    <t>Tabla Pareto</t>
  </si>
  <si>
    <t>Porcentajes</t>
  </si>
  <si>
    <t>Sumatoria</t>
  </si>
  <si>
    <t>MICMAC</t>
  </si>
  <si>
    <t>Poder</t>
  </si>
  <si>
    <t>Conflicto</t>
  </si>
  <si>
    <t>Autonomas</t>
  </si>
  <si>
    <t>Resultados</t>
  </si>
  <si>
    <t>Robo a vivienda</t>
  </si>
  <si>
    <t>Resultados MIC-MAC</t>
  </si>
  <si>
    <t>Clasificacion</t>
  </si>
  <si>
    <t>ABANDONO DE PERSONAS (MENOR DE EDAD, ADULTO MAYOR O CON CAPACIDADES DIFERENTES)</t>
  </si>
  <si>
    <t>ABIGEATO (ROBO Y DESTACE DE GANADO)</t>
  </si>
  <si>
    <t>ABORTO</t>
  </si>
  <si>
    <t>ABUSO DE AUTORIDAD</t>
  </si>
  <si>
    <t>ACCIONAMIENTO DE ARMA DE FUEGO (BALACERAS)</t>
  </si>
  <si>
    <t>ADMINISTRACION FRAUDULENTA, APROPIACIONES INDEBIDAS O ENRIQUECIMIENTO ILICITO</t>
  </si>
  <si>
    <t>AGRESION CON ARMAS</t>
  </si>
  <si>
    <t>AMENAZAS</t>
  </si>
  <si>
    <t>CALUMNIA</t>
  </si>
  <si>
    <t>CAZA ILEGAL</t>
  </si>
  <si>
    <t>CONDUCCION TEMERARIA</t>
  </si>
  <si>
    <t>CONTRABANDO</t>
  </si>
  <si>
    <t>CORRUPCION</t>
  </si>
  <si>
    <t>CORRUPCION POLICIAL</t>
  </si>
  <si>
    <t>CULTIVO DE DROGA (MARIHUANA)</t>
  </si>
  <si>
    <t>DELICUENCIA ORGANIZADA</t>
  </si>
  <si>
    <t>DELITOS SEXUALES</t>
  </si>
  <si>
    <t>DESOBEDIENCIA</t>
  </si>
  <si>
    <t>DESORDENES EN VIA PUBLICA</t>
  </si>
  <si>
    <t>ESTAFA O DEFRAUDACION</t>
  </si>
  <si>
    <t>ESTUPRO (DELITOS SEXUALES CONTRA MENOR DE EDAD)</t>
  </si>
  <si>
    <t>EXPLOSIVOS</t>
  </si>
  <si>
    <t>EXTORSION</t>
  </si>
  <si>
    <t>FALSIFICACION DE MONEDA Y OTROS VALORES.</t>
  </si>
  <si>
    <t>FRAUDE INFORMATICO</t>
  </si>
  <si>
    <t>GROOMING</t>
  </si>
  <si>
    <t>HOMICIDIO (PROFESIONAL)</t>
  </si>
  <si>
    <t>LAVADO DE ACTIVOS</t>
  </si>
  <si>
    <t>LESIONES</t>
  </si>
  <si>
    <t>MALTRATO ANIMAL</t>
  </si>
  <si>
    <t>NARCOTRAFICO</t>
  </si>
  <si>
    <t>MENORES EN VULNERABILIDAD</t>
  </si>
  <si>
    <t>PESCA ILEGAL</t>
  </si>
  <si>
    <t>PORTACION ILEGAL DE ARMAS</t>
  </si>
  <si>
    <t>RECEPTACION</t>
  </si>
  <si>
    <t>RELACIONES IMPROPIAS</t>
  </si>
  <si>
    <t>RESISTENCIA (IRRESPETO A LA AUTORIDAD)</t>
  </si>
  <si>
    <t>ROBO A COMERCIO (INTIMIDACION)</t>
  </si>
  <si>
    <t>ROBO A COMERCIO (TACHA)</t>
  </si>
  <si>
    <t>ROBO A PERSONAS</t>
  </si>
  <si>
    <t>ROBO A TRANSPORTE COMERCIAL</t>
  </si>
  <si>
    <t>ROBO A VEHICULOS (TACHA)</t>
  </si>
  <si>
    <t>ROBO A VIVIENDA (INTIMIDACION)</t>
  </si>
  <si>
    <t>ROBO A VIVIENDA
(TACHA)</t>
  </si>
  <si>
    <t>ROBO DE BICICLETA</t>
  </si>
  <si>
    <t>ROBO DE CULTIVOS</t>
  </si>
  <si>
    <t>ROBO DE MOTOCICLETAS/VEHICULOS(BAJONAZO)</t>
  </si>
  <si>
    <t>ROBO DE VEHICULOS</t>
  </si>
  <si>
    <t>SECUESTRO</t>
  </si>
  <si>
    <t>SIMULACION DE DELITO</t>
  </si>
  <si>
    <t>SUSTRACCION DE UNA PERSONA MENOR DE EDAD O INCAPAZ.</t>
  </si>
  <si>
    <t>TENTATIVA DE HOMICIDIO</t>
  </si>
  <si>
    <t>TERRORISMO</t>
  </si>
  <si>
    <t>TRAFICO DE ARMAS</t>
  </si>
  <si>
    <t>TRAFICO DE INFLUENCIAS</t>
  </si>
  <si>
    <t>TRATA DE PERSONAS</t>
  </si>
  <si>
    <t>USO ILEGAL DE UNIFORMES, INSIGNIAS O DISPOSITIVOS POLICIALES</t>
  </si>
  <si>
    <t>USURPACION DE TERRENOS (PRECARIOS)</t>
  </si>
  <si>
    <t>VENTA DE DROGAS</t>
  </si>
  <si>
    <t>VIOLENCIA DE GENERO</t>
  </si>
  <si>
    <t>VIOLENCIA INTRAFAMILIAR</t>
  </si>
  <si>
    <t>ROBO DE CABLE</t>
  </si>
  <si>
    <t>FEMICIDIO</t>
  </si>
  <si>
    <t>ACCIDENTES DE TRANSITO</t>
  </si>
  <si>
    <t>ACOSO ESCOLAR (BULLYING)</t>
  </si>
  <si>
    <t>ACOSO LABORAL (MOBBING)</t>
  </si>
  <si>
    <t>ACOSO SEXUAL CALLEJERO</t>
  </si>
  <si>
    <t>ACTOS OBSCENOS EN VIA PUBLICA</t>
  </si>
  <si>
    <t>AGRUPACIONES DELINCUENCIALES NO ORGANIZADAS</t>
  </si>
  <si>
    <t>ANALFABETISMO</t>
  </si>
  <si>
    <t>BAJOS SALARIOS</t>
  </si>
  <si>
    <t>BARRAS DE FUTBOL</t>
  </si>
  <si>
    <t>BUNKER (EJE DE EXPENDIO DE DROGAS)</t>
  </si>
  <si>
    <t>CONSUMO DE DROGAS</t>
  </si>
  <si>
    <t>CONTAMINACION SONICA</t>
  </si>
  <si>
    <t>DEFICIENCIAS EN EL ALUMBRADO PUBLICO</t>
  </si>
  <si>
    <t>DESAPARICION DE PERSONAS</t>
  </si>
  <si>
    <t>DESARTICULACION INTERINSTITUCIONAL</t>
  </si>
  <si>
    <t>DESEMPLEO</t>
  </si>
  <si>
    <t>ENFRENTAMIENTOS ESTUDIANTILES</t>
  </si>
  <si>
    <t>FACILISMO ECONOMICO</t>
  </si>
  <si>
    <t>FALTA DE CAMARAS DE SEGURIDAD</t>
  </si>
  <si>
    <t>FALTA DE CONTROL A PATENTES</t>
  </si>
  <si>
    <t>FALTA DE CONTROL FRONTERIZO</t>
  </si>
  <si>
    <t>FALTA DE CORRESPONSABILIDAD EN SEGURIDAD</t>
  </si>
  <si>
    <t>FALTA DE CULTURA VIAL</t>
  </si>
  <si>
    <t>FALTA DE CULTURA Y COMPROMISO CIUDADANO</t>
  </si>
  <si>
    <t>FALTA DE EDUCACION FAMILIAR</t>
  </si>
  <si>
    <t>FALTA DE INVERSION SOCIAL</t>
  </si>
  <si>
    <t>FALTA DE LEGISLACION DE EXTINCION DE DOMINIO</t>
  </si>
  <si>
    <t>FALTA DE POLITICAS PUBLICAS EN SEGURIDAD</t>
  </si>
  <si>
    <t>FALTA DE PRESENCIA POLICIAL</t>
  </si>
  <si>
    <t>FAMILIAS DISFUNCIONALES</t>
  </si>
  <si>
    <t>HACINAMIENTO CARCELARIO</t>
  </si>
  <si>
    <t>HACINAMIENTO POLICIAL</t>
  </si>
  <si>
    <t>HOSPEDAJES ILEGALES (CUARTERIAS)</t>
  </si>
  <si>
    <t>INCUMPLIMIENTO AL PLAN REGULADOR DE LA MUNICIPALIDAD</t>
  </si>
  <si>
    <t>INDIFERENCIA SOCIAL</t>
  </si>
  <si>
    <t>INEFICIENCIA EN LA ADMINISTRACION DE JUSTICIA</t>
  </si>
  <si>
    <t>INTOLERANCIA SOCIAL</t>
  </si>
  <si>
    <t>LEY DE CONTROL DE TABACO (LEY 9028)</t>
  </si>
  <si>
    <t>NECESIDADES BASICAS INSATISFECHAS</t>
  </si>
  <si>
    <t>PERSONAS CON EXCESO DE TIEMPO DE OCIO</t>
  </si>
  <si>
    <t>PERSONAS EN ESTADO MIGRATORIO IRREGULAR</t>
  </si>
  <si>
    <t>PERSONAS EN SITUACION DE CALLE</t>
  </si>
  <si>
    <t>PRESENCIA MULTICULTURAL</t>
  </si>
  <si>
    <t>PROBLEMAS VECINALES</t>
  </si>
  <si>
    <t>SISTEMA JURIDICO DESACTUALIZADO</t>
  </si>
  <si>
    <t>SUICIDIO</t>
  </si>
  <si>
    <t>TENDENCIA SOCIAL HACIA EL DELITO (PAUTAS DE CRIANZA VIOLENTA)</t>
  </si>
  <si>
    <t>TRABAJO INFORMAL</t>
  </si>
  <si>
    <t>TRANSPORTE INFORMAL (UBER, PORTEADORES, PIRATAS)</t>
  </si>
  <si>
    <t>VENTAS INFORMALES (AMBULANTES)</t>
  </si>
  <si>
    <t>VIGILANCIA INFORMAL</t>
  </si>
  <si>
    <t>XENOFOBIA</t>
  </si>
  <si>
    <t>ZONAS DE PROSTITUCION</t>
  </si>
  <si>
    <t>ZONAS VULNERABLES</t>
  </si>
  <si>
    <t>FALTA DE OPORTUNIDADES LABORALES</t>
  </si>
  <si>
    <t>Riesgos S</t>
  </si>
  <si>
    <t>VIOLENCIA DOMESTICA</t>
  </si>
  <si>
    <t>CONSUMO DE ALCOHOL EN VIA PUBLICA</t>
  </si>
  <si>
    <t>ROBO A VIVIENDA (TACHA)</t>
  </si>
  <si>
    <t>DEFICIENCIAS EN LA INFRAESTRUCTURA VIAL</t>
  </si>
  <si>
    <t>Triangulo de Violencias</t>
  </si>
  <si>
    <t>Violencia</t>
  </si>
  <si>
    <t>Causas</t>
  </si>
  <si>
    <t>Directa</t>
  </si>
  <si>
    <t>Socioculturales</t>
  </si>
  <si>
    <t>Estructurales</t>
  </si>
  <si>
    <t>Lista de Instituciones</t>
  </si>
  <si>
    <t xml:space="preserve">Fecha </t>
  </si>
  <si>
    <t>Estadistica</t>
  </si>
  <si>
    <t>Denuncias por Distrito</t>
  </si>
  <si>
    <t>00:00-02:59</t>
  </si>
  <si>
    <t>03:00-05:59</t>
  </si>
  <si>
    <t>06:00-08:59</t>
  </si>
  <si>
    <t>09:00-11:59</t>
  </si>
  <si>
    <t>12:00-14:59</t>
  </si>
  <si>
    <t>15:00-17:59</t>
  </si>
  <si>
    <t>18:00-20:59</t>
  </si>
  <si>
    <t>21:00-23:59</t>
  </si>
  <si>
    <t>Desconocido</t>
  </si>
  <si>
    <t>AM</t>
  </si>
  <si>
    <t>PM</t>
  </si>
  <si>
    <t>DLCP Modalidad</t>
  </si>
  <si>
    <t>Asalto</t>
  </si>
  <si>
    <t>Asalto Vivienda</t>
  </si>
  <si>
    <t>Otros Robos</t>
  </si>
  <si>
    <t>Robo a edificacion</t>
  </si>
  <si>
    <t>Robo a ganado</t>
  </si>
  <si>
    <t>Robo a vehiculo</t>
  </si>
  <si>
    <t>Tacha a vehiculo</t>
  </si>
  <si>
    <t>DCLP Dias</t>
  </si>
  <si>
    <t>Lunes</t>
  </si>
  <si>
    <t>Martes</t>
  </si>
  <si>
    <t>Miércoles</t>
  </si>
  <si>
    <t>Jueves</t>
  </si>
  <si>
    <t>Viernes</t>
  </si>
  <si>
    <t>Sábado</t>
  </si>
  <si>
    <t>Domingo</t>
  </si>
  <si>
    <t>Distritos</t>
  </si>
  <si>
    <t>porcentaje</t>
  </si>
  <si>
    <t>Lineas de Acción</t>
  </si>
  <si>
    <t>Cantidad de Lineas</t>
  </si>
  <si>
    <t>GL</t>
  </si>
  <si>
    <t>Mixtas</t>
  </si>
  <si>
    <t>LA</t>
  </si>
  <si>
    <t>LA1</t>
  </si>
  <si>
    <t>Total encuestas</t>
  </si>
  <si>
    <t>Problematicas</t>
  </si>
  <si>
    <t>LA2</t>
  </si>
  <si>
    <t>LA3</t>
  </si>
  <si>
    <t>LA4</t>
  </si>
  <si>
    <t>LA5</t>
  </si>
  <si>
    <t>LA6</t>
  </si>
  <si>
    <t>LA7</t>
  </si>
  <si>
    <t>LA8</t>
  </si>
  <si>
    <t>LA9</t>
  </si>
  <si>
    <t>LA10</t>
  </si>
  <si>
    <t>LA11</t>
  </si>
  <si>
    <t>LA12</t>
  </si>
  <si>
    <t>Lider Estrat.</t>
  </si>
  <si>
    <t>Acciones Estrategicas</t>
  </si>
  <si>
    <t>Cogestores</t>
  </si>
  <si>
    <t>IAFA, ICD, La unidad de seguimiento de la policia penitenciaria</t>
  </si>
  <si>
    <t>INA, Conapan, IAFA</t>
  </si>
  <si>
    <t>Lider</t>
  </si>
  <si>
    <t>Percepcion Ciudadana</t>
  </si>
  <si>
    <t>¿Se siente seguro en su comunidad?</t>
  </si>
  <si>
    <t>Respuesta</t>
  </si>
  <si>
    <t>No</t>
  </si>
  <si>
    <t>¿Cómo se siente en cuanto a la seguridad en su barrio este año en comparación con el año anterior?</t>
  </si>
  <si>
    <t>Seguro</t>
  </si>
  <si>
    <t>Inseguro</t>
  </si>
  <si>
    <t>Espacios recreativos</t>
  </si>
  <si>
    <t>Lugar de residencia</t>
  </si>
  <si>
    <t>Puentes peatonales</t>
  </si>
  <si>
    <t>Transporte público</t>
  </si>
  <si>
    <t>Zona bancaria</t>
  </si>
  <si>
    <t>Zona de comercio</t>
  </si>
  <si>
    <t>Zonas residenciales</t>
  </si>
  <si>
    <t>¿Usted ha sido víctima de algún delito en los últimos 12 meses?, ¿denunció ante el O.I.J?</t>
  </si>
  <si>
    <t>Porcentaje</t>
  </si>
  <si>
    <t>NO he sido víctima de ningún delito</t>
  </si>
  <si>
    <t>SI he sido víctima pero NO denuncié</t>
  </si>
  <si>
    <t>SI he sido víctima y SI denuncié</t>
  </si>
  <si>
    <t>¿Por qué la comunidad No denuncia?</t>
  </si>
  <si>
    <t>Distancia</t>
  </si>
  <si>
    <t>Miedo a represalias.</t>
  </si>
  <si>
    <t>Falta de respuesta oportuna.</t>
  </si>
  <si>
    <t>Complejidad al colocar la denuncia.</t>
  </si>
  <si>
    <t>Desconocimiento de dónde colocar la denuncia.</t>
  </si>
  <si>
    <t>El Policía me dijo que era mejor no denunciar.</t>
  </si>
  <si>
    <t>Falta de tiempo para colocar la denuncia</t>
  </si>
  <si>
    <t>Omitidas</t>
  </si>
  <si>
    <t>Horario Delictivo</t>
  </si>
  <si>
    <t>00:00-02:59 a.m</t>
  </si>
  <si>
    <t>03:00-05:59 a.m</t>
  </si>
  <si>
    <t>06:00-08:59 a.m</t>
  </si>
  <si>
    <t>09:00-11:59 a.m</t>
  </si>
  <si>
    <t>12:00-14:59 p.m</t>
  </si>
  <si>
    <t>15:00-17:59 p.m</t>
  </si>
  <si>
    <t>18:00-20:59 p.m</t>
  </si>
  <si>
    <t>21:00-23:59 p.m</t>
  </si>
  <si>
    <t>Utilización de Armas en Hechos Delictivos</t>
  </si>
  <si>
    <t>Arma blanca (cuchillo, machete, tijeras).</t>
  </si>
  <si>
    <t>Arma de fuego.</t>
  </si>
  <si>
    <t>Amenazas</t>
  </si>
  <si>
    <t>Arrebato</t>
  </si>
  <si>
    <t>Boquete</t>
  </si>
  <si>
    <t>Ganzúa (pata de chancho)</t>
  </si>
  <si>
    <t>Engaño</t>
  </si>
  <si>
    <t>Percepción del Servicio Policial</t>
  </si>
  <si>
    <t>Calificación del Servicio Policial del Último de Año</t>
  </si>
  <si>
    <t>¿Conoce usted a los policías de la Fuerza Pública de su comunidad?</t>
  </si>
  <si>
    <t>Si</t>
  </si>
  <si>
    <t>Sector Comercial</t>
  </si>
  <si>
    <t xml:space="preserve"> ¿Se siente seguro en su local comercial?</t>
  </si>
  <si>
    <t>¿Conoce el programa de "Seguridad Comercial" que imparte Fuerza Pública?</t>
  </si>
  <si>
    <t>¿Está inscrito en el programa de "Seguridad Comercial?</t>
  </si>
  <si>
    <t>¿Le gustaría que se le contacte para formar parte del programa?</t>
  </si>
  <si>
    <t>¿Cuál es la relación con la zona?</t>
  </si>
  <si>
    <t>Relación</t>
  </si>
  <si>
    <t>Estudio en la zona</t>
  </si>
  <si>
    <t>Trabajo en la zona</t>
  </si>
  <si>
    <t>Visito la zona</t>
  </si>
  <si>
    <t>Vivo en la zona</t>
  </si>
  <si>
    <t>sin DESC</t>
  </si>
  <si>
    <t>Sin DESC</t>
  </si>
  <si>
    <t>Frec</t>
  </si>
  <si>
    <t>Horarios</t>
  </si>
  <si>
    <t>Asalto a vivienda</t>
  </si>
  <si>
    <t>Robo a Vivienda</t>
  </si>
  <si>
    <t>Region</t>
  </si>
  <si>
    <t>Muy Inseguro</t>
  </si>
  <si>
    <t>Ni Inseguro Ni Seguro</t>
  </si>
  <si>
    <t>Muy Seguro</t>
  </si>
  <si>
    <t>Mucho menos seguro</t>
  </si>
  <si>
    <t>Menos Seguro</t>
  </si>
  <si>
    <t>Se mantiene igual</t>
  </si>
  <si>
    <t>Mas Seguro</t>
  </si>
  <si>
    <t>Mucho mas seguro</t>
  </si>
  <si>
    <t>Discotecas y bares</t>
  </si>
  <si>
    <t>Paradas-Estaciónes</t>
  </si>
  <si>
    <t>Zonas Francas</t>
  </si>
  <si>
    <t>Lugares Turisticos</t>
  </si>
  <si>
    <t>Centros Educativos</t>
  </si>
  <si>
    <t>Ni Seguro Ni inseguro</t>
  </si>
  <si>
    <t>No aplica</t>
  </si>
  <si>
    <t>Desconfianza en las autoridades o en el proceso de denuncia</t>
  </si>
  <si>
    <t>Escalamiento</t>
  </si>
  <si>
    <t>No sé</t>
  </si>
  <si>
    <t>Otro</t>
  </si>
  <si>
    <t>De 18 a 29</t>
  </si>
  <si>
    <t>De 30 a 44</t>
  </si>
  <si>
    <t>De 45 a 64</t>
  </si>
  <si>
    <t>De  65 años o más</t>
  </si>
  <si>
    <t>Vacio</t>
  </si>
  <si>
    <t>tipos de atención</t>
  </si>
  <si>
    <t>Solicitud de ayuda o auxilio</t>
  </si>
  <si>
    <t xml:space="preserve">Atención relacionada con una denuncia. </t>
  </si>
  <si>
    <t>Atención cordial o preventiva durante un patrullaje.</t>
  </si>
  <si>
    <t xml:space="preserve">Fui abordado o registrado para identificación. </t>
  </si>
  <si>
    <t xml:space="preserve"> Fui objeto de una infracción o conflicto</t>
  </si>
  <si>
    <t xml:space="preserve">Evento preventivos (Cívico policial, Reunión Comunitaria) </t>
  </si>
  <si>
    <t>Otra (especifique):</t>
  </si>
  <si>
    <t>Ninguna Confianza</t>
  </si>
  <si>
    <t>Poca Confianza</t>
  </si>
  <si>
    <t>Confiable</t>
  </si>
  <si>
    <t>Confianza Razonable</t>
  </si>
  <si>
    <t>Mucha Confianza</t>
  </si>
  <si>
    <t>Nada Profesional</t>
  </si>
  <si>
    <t>Profesional</t>
  </si>
  <si>
    <t>Muy Profesional</t>
  </si>
  <si>
    <t>Muy inseguro</t>
  </si>
  <si>
    <t>Ni seguro ni inseguro</t>
  </si>
  <si>
    <t>seguro</t>
  </si>
  <si>
    <t>Muy seguro</t>
  </si>
  <si>
    <t>Merced</t>
  </si>
  <si>
    <t>Hospital</t>
  </si>
  <si>
    <t>Carmen</t>
  </si>
  <si>
    <t>Catedral</t>
  </si>
  <si>
    <t>San Sebastián</t>
  </si>
  <si>
    <t>Hatillo</t>
  </si>
  <si>
    <t>Zapote / San Francisco de Dos Ríos</t>
  </si>
  <si>
    <t>Pavas</t>
  </si>
  <si>
    <t>Uruca / Mata Redonda</t>
  </si>
  <si>
    <t>Curridabat</t>
  </si>
  <si>
    <t>Montes de Oca</t>
  </si>
  <si>
    <t>Goicoechea</t>
  </si>
  <si>
    <t>Moravia</t>
  </si>
  <si>
    <t>Tibás</t>
  </si>
  <si>
    <t>Coronado</t>
  </si>
  <si>
    <t>Desamparados Norte</t>
  </si>
  <si>
    <t>Desamparados Sur</t>
  </si>
  <si>
    <t>Aserrí</t>
  </si>
  <si>
    <t>Acosta</t>
  </si>
  <si>
    <t>Alajuelita</t>
  </si>
  <si>
    <t>Escazú</t>
  </si>
  <si>
    <t>Santa Ana</t>
  </si>
  <si>
    <t>Mora</t>
  </si>
  <si>
    <t>Puriscal</t>
  </si>
  <si>
    <t>Turrubares</t>
  </si>
  <si>
    <t>Alajuela Sur</t>
  </si>
  <si>
    <t>Alajuela Norte</t>
  </si>
  <si>
    <t>Grecia</t>
  </si>
  <si>
    <t>San Mateo</t>
  </si>
  <si>
    <t>Atenas</t>
  </si>
  <si>
    <t>Naranjo</t>
  </si>
  <si>
    <t>Palmares</t>
  </si>
  <si>
    <t>Poás</t>
  </si>
  <si>
    <t>Orotina</t>
  </si>
  <si>
    <t>Sarchí</t>
  </si>
  <si>
    <t>Cartago</t>
  </si>
  <si>
    <t>Paraíso</t>
  </si>
  <si>
    <t>La Unión</t>
  </si>
  <si>
    <t>Jiménez</t>
  </si>
  <si>
    <t>Turrialba</t>
  </si>
  <si>
    <t>Alvarado</t>
  </si>
  <si>
    <t>Oreamuno</t>
  </si>
  <si>
    <t>El Guarco</t>
  </si>
  <si>
    <t>Tarrazú</t>
  </si>
  <si>
    <t>Dota</t>
  </si>
  <si>
    <t>León Cortés</t>
  </si>
  <si>
    <t>Guadalupe</t>
  </si>
  <si>
    <t>Heredia</t>
  </si>
  <si>
    <t>Barva</t>
  </si>
  <si>
    <t>Santo Domingo</t>
  </si>
  <si>
    <t>Santa Bárbara</t>
  </si>
  <si>
    <t>Belén</t>
  </si>
  <si>
    <t>Flores</t>
  </si>
  <si>
    <t>San Pablo</t>
  </si>
  <si>
    <t>Liberia</t>
  </si>
  <si>
    <t>Nicoya</t>
  </si>
  <si>
    <t>Santa Cruz</t>
  </si>
  <si>
    <t>Bagaces</t>
  </si>
  <si>
    <t>Carrillo</t>
  </si>
  <si>
    <t>Cañas</t>
  </si>
  <si>
    <t>Abangares</t>
  </si>
  <si>
    <t>Tilarán</t>
  </si>
  <si>
    <t>Nandayure</t>
  </si>
  <si>
    <t>Hojancha</t>
  </si>
  <si>
    <t>Puntarenas</t>
  </si>
  <si>
    <t>Esparza</t>
  </si>
  <si>
    <t>Montes de Oro</t>
  </si>
  <si>
    <t>Quepos</t>
  </si>
  <si>
    <t>Parrita</t>
  </si>
  <si>
    <t>Garabito</t>
  </si>
  <si>
    <t>Paquera</t>
  </si>
  <si>
    <t>Chomes</t>
  </si>
  <si>
    <t>Pérez Zeledón</t>
  </si>
  <si>
    <t>Buenos Aires</t>
  </si>
  <si>
    <t>Osa</t>
  </si>
  <si>
    <t>San Carlos Este</t>
  </si>
  <si>
    <t>San Carlos Oeste</t>
  </si>
  <si>
    <t>Zarcero</t>
  </si>
  <si>
    <t>Guatuso</t>
  </si>
  <si>
    <t>Río Cuarto</t>
  </si>
  <si>
    <t>Limón</t>
  </si>
  <si>
    <t>Siquirres</t>
  </si>
  <si>
    <t>Talamanca</t>
  </si>
  <si>
    <t>Matina</t>
  </si>
  <si>
    <t>Golfito</t>
  </si>
  <si>
    <t>Coto Brus</t>
  </si>
  <si>
    <t>Corredores</t>
  </si>
  <si>
    <t>Puerto Jiménez</t>
  </si>
  <si>
    <t>La Cruz</t>
  </si>
  <si>
    <t>Upala</t>
  </si>
  <si>
    <t>Los Chiles</t>
  </si>
  <si>
    <t>Guácimo</t>
  </si>
  <si>
    <t>Pococí Norte</t>
  </si>
  <si>
    <t>Pococí Sur</t>
  </si>
  <si>
    <t>Sarapiquí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</si>
  <si>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</si>
  <si>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</si>
  <si>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</si>
  <si>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</si>
  <si>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</si>
  <si>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</si>
  <si>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</si>
  <si>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</si>
  <si>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</si>
  <si>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</si>
  <si>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</si>
  <si>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</si>
  <si>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</si>
  <si>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</si>
  <si>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</si>
  <si>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</si>
  <si>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</si>
  <si>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</si>
  <si>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</si>
  <si>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</si>
  <si>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</si>
  <si>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</si>
  <si>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</si>
  <si>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</si>
  <si>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</si>
  <si>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</si>
  <si>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</si>
  <si>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</si>
  <si>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</si>
  <si>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</si>
  <si>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</si>
  <si>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</si>
  <si>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</si>
  <si>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</si>
  <si>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</si>
  <si>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</si>
  <si>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</si>
  <si>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</si>
  <si>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</si>
  <si>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</si>
  <si>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</si>
  <si>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</si>
  <si>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</si>
  <si>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</si>
  <si>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</si>
  <si>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</si>
  <si>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</si>
  <si>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</si>
  <si>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</si>
  <si>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</si>
  <si>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</si>
  <si>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</si>
  <si>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</si>
  <si>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</si>
  <si>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</si>
  <si>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</si>
  <si>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</si>
  <si>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</si>
  <si>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</si>
  <si>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</si>
  <si>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</si>
  <si>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</si>
  <si>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</si>
  <si>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</si>
  <si>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</si>
  <si>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</si>
  <si>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</si>
  <si>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</si>
  <si>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</si>
  <si>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</si>
  <si>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</si>
  <si>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</si>
  <si>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</si>
  <si>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</si>
  <si>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</si>
  <si>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</si>
  <si>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</si>
  <si>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</si>
  <si>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</si>
  <si>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</si>
  <si>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 E</t>
  </si>
  <si>
    <t>D82 O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</si>
  <si>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</si>
  <si>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</si>
  <si>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</si>
  <si>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</si>
  <si>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</si>
  <si>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</si>
  <si>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</si>
  <si>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</si>
  <si>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</si>
  <si>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</si>
  <si>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</si>
  <si>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</si>
  <si>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</si>
  <si>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</si>
  <si>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</si>
  <si>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</si>
  <si>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categoria</t>
  </si>
  <si>
    <t>descriptor</t>
  </si>
  <si>
    <t>acumulado</t>
  </si>
  <si>
    <t>segmento</t>
  </si>
  <si>
    <t>Acumulado</t>
  </si>
  <si>
    <t>Frecuencia</t>
  </si>
  <si>
    <t>TOTAL XLXS</t>
  </si>
  <si>
    <t xml:space="preserve"> </t>
  </si>
  <si>
    <t>ALTERACION DE DATOS Y SABOTAJE INFORMATICO</t>
  </si>
  <si>
    <t>DANO AMBIENTAL</t>
  </si>
  <si>
    <t>DANOS/VANDALISMO</t>
  </si>
  <si>
    <t>DELITOS CONTRA EL AMBITO DE INTIMIDAD (VIOLACION DE SECRETOS (CORRESPONDENCIA Y COMUNICACIONES ELECTRONICAS))</t>
  </si>
  <si>
    <t>DISTURBIOS (RINAS)</t>
  </si>
  <si>
    <t>EVASION Y QUEBRANTAMIENTO DE PENA</t>
  </si>
  <si>
    <t>FABRICACION, PRODUCCION O REPRODUCCION DE PORNOGRAFIA</t>
  </si>
  <si>
    <t>HURTO</t>
  </si>
  <si>
    <t>INCUMPLIMIENTO DEL DEBER ALIMENTARIO</t>
  </si>
  <si>
    <t>LEY DE ARMAS Y EXPLOSIVOS N° 7530</t>
  </si>
  <si>
    <t>PRIVACION DE LIBERTAD SIN ANIMO DE LUCRO</t>
  </si>
  <si>
    <t>ROBO A EDIFICACION (TACHA)</t>
  </si>
  <si>
    <t>VIOLACION DE DOMICILIO</t>
  </si>
  <si>
    <t>VIOLACION DE LA CUSTODIA DE LAS COSAS</t>
  </si>
  <si>
    <t>VIOLACION DE SELLOS</t>
  </si>
  <si>
    <t>ROBO A TRANSPORTE PUBLICO CON INTIMIDACION</t>
  </si>
  <si>
    <t>EXPLOTACION SEXUAL INFANTIL</t>
  </si>
  <si>
    <t>EXPLOTACION LABORAL INFANTIL</t>
  </si>
  <si>
    <t>TRAFICO ILEGAL DE PERSONAS</t>
  </si>
  <si>
    <t>ROBO DE EMBARCACIONES</t>
  </si>
  <si>
    <t>ROBO DE EQUIPO AGRICOLA</t>
  </si>
  <si>
    <t>ROBO A EMBARCACIONES (TACHA)</t>
  </si>
  <si>
    <t/>
  </si>
  <si>
    <t>RIESGO</t>
  </si>
  <si>
    <t>DESVINCULACION ESTUDIANTIL</t>
  </si>
  <si>
    <t>FALTA DE SALUBRIDAD PUBLICA</t>
  </si>
  <si>
    <t>LOTES BALDIOS</t>
  </si>
  <si>
    <t>PERCEPCION DE INSEGURIDAD</t>
  </si>
  <si>
    <t>PERDIDA DE ESPACIOS PUBLICOS</t>
  </si>
  <si>
    <t>TENENCIA DE DROGA</t>
  </si>
  <si>
    <t>TOTALES DE ENCUESTAs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</si>
</sst>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0" fillId="0" borderId="1" xfId="0" applyBorder="1"/>
    <xf numFmtId="9" fontId="0" fillId="0" borderId="1" xfId="1" applyFont="1" applyBorder="1"/>
    <xf numFmtId="9" fontId="0" fillId="0" borderId="1" xfId="0" applyNumberFormat="1" applyBorder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10" fontId="0" fillId="4" borderId="1" xfId="1" applyNumberFormat="1" applyFont="1" applyFill="1" applyBorder="1" applyAlignment="1">
      <alignment horizontal="center"/>
    </xf>
    <xf numFmtId="0" fontId="0" fillId="4" borderId="1" xfId="0" applyFill="1" applyBorder="1"/>
    <xf numFmtId="10" fontId="0" fillId="0" borderId="1" xfId="0" applyNumberFormat="1" applyBorder="1"/>
    <xf numFmtId="0" fontId="0" fillId="7" borderId="1" xfId="0" applyFill="1" applyBorder="1"/>
    <xf numFmtId="0" fontId="0" fillId="0" borderId="1" xfId="0" applyBorder="1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0" borderId="7" xfId="0" applyBorder="1" applyAlignment="1"/>
    <xf numFmtId="0" fontId="0" fillId="0" borderId="3" xfId="0" applyBorder="1"/>
    <xf numFmtId="0" fontId="0" fillId="0" borderId="0" xfId="0" applyBorder="1"/>
    <xf numFmtId="0" fontId="4" fillId="2" borderId="1" xfId="0" applyFont="1" applyFill="1" applyBorder="1" applyAlignment="1">
      <alignment horizontal="left" vertical="center" readingOrder="1"/>
    </xf>
    <xf numFmtId="0" fontId="0" fillId="0" borderId="1" xfId="0" applyFont="1" applyBorder="1"/>
    <xf numFmtId="0" fontId="0" fillId="3" borderId="3" xfId="0" applyFill="1" applyBorder="1"/>
    <xf numFmtId="0" fontId="0" fillId="8" borderId="1" xfId="0" applyFill="1" applyBorder="1"/>
    <xf numFmtId="0" fontId="0" fillId="9" borderId="1" xfId="0" applyFill="1" applyBorder="1"/>
    <xf numFmtId="0" fontId="0" fillId="6" borderId="1" xfId="0" applyFill="1" applyBorder="1"/>
    <xf numFmtId="0" fontId="0" fillId="8" borderId="6" xfId="0" applyFill="1" applyBorder="1"/>
    <xf numFmtId="0" fontId="0" fillId="10" borderId="1" xfId="0" applyFill="1" applyBorder="1"/>
    <xf numFmtId="0" fontId="0" fillId="11" borderId="0" xfId="0" applyFill="1"/>
    <xf numFmtId="10" fontId="0" fillId="0" borderId="0" xfId="0" applyNumberFormat="1" applyBorder="1"/>
    <xf numFmtId="0" fontId="0" fillId="13" borderId="1" xfId="0" applyFill="1" applyBorder="1"/>
    <xf numFmtId="10" fontId="0" fillId="0" borderId="6" xfId="0" applyNumberFormat="1" applyBorder="1"/>
    <xf numFmtId="0" fontId="0" fillId="2" borderId="6" xfId="0" applyFill="1" applyBorder="1"/>
    <xf numFmtId="0" fontId="0" fillId="0" borderId="1" xfId="0" applyFill="1" applyBorder="1"/>
    <xf numFmtId="0" fontId="0" fillId="0" borderId="0" xfId="0" applyFill="1" applyBorder="1" applyAlignment="1"/>
    <xf numFmtId="0" fontId="0" fillId="0" borderId="6" xfId="0" applyBorder="1"/>
    <xf numFmtId="1" fontId="0" fillId="0" borderId="1" xfId="0" applyNumberFormat="1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10" fontId="0" fillId="0" borderId="1" xfId="1" applyNumberFormat="1" applyFont="1" applyFill="1" applyBorder="1"/>
    <xf numFmtId="43" fontId="0" fillId="3" borderId="1" xfId="2" applyFont="1" applyFill="1" applyBorder="1"/>
    <xf numFmtId="14" fontId="0" fillId="2" borderId="1" xfId="0" applyNumberFormat="1" applyFill="1" applyBorder="1"/>
    <xf numFmtId="0" fontId="0" fillId="0" borderId="0" xfId="0" applyFill="1"/>
    <xf numFmtId="0" fontId="0" fillId="0" borderId="2" xfId="0" applyFill="1" applyBorder="1"/>
    <xf numFmtId="0" fontId="0" fillId="3" borderId="3" xfId="0" applyFill="1" applyBorder="1" applyAlignment="1"/>
    <xf numFmtId="0" fontId="0" fillId="3" borderId="4" xfId="0" applyFill="1" applyBorder="1" applyAlignment="1"/>
    <xf numFmtId="0" fontId="0" fillId="3" borderId="5" xfId="0" applyFill="1" applyBorder="1" applyAlignment="1"/>
    <xf numFmtId="0" fontId="0" fillId="8" borderId="0" xfId="0" applyFill="1"/>
    <xf numFmtId="0" fontId="0" fillId="3" borderId="1" xfId="0" applyFill="1" applyBorder="1" applyAlignment="1">
      <alignment horizontal="center"/>
    </xf>
    <xf numFmtId="0" fontId="0" fillId="14" borderId="1" xfId="0" applyFill="1" applyBorder="1"/>
    <xf numFmtId="1" fontId="0" fillId="2" borderId="1" xfId="0" applyNumberFormat="1" applyFill="1" applyBorder="1"/>
    <xf numFmtId="0" fontId="0" fillId="15" borderId="1" xfId="0" applyFill="1" applyBorder="1"/>
    <xf numFmtId="10" fontId="0" fillId="4" borderId="1" xfId="0" applyNumberFormat="1" applyFill="1" applyBorder="1"/>
    <xf numFmtId="0" fontId="0" fillId="11" borderId="1" xfId="0" applyFill="1" applyBorder="1"/>
    <xf numFmtId="10" fontId="0" fillId="4" borderId="1" xfId="1" applyNumberFormat="1" applyFont="1" applyFill="1" applyBorder="1"/>
    <xf numFmtId="10" fontId="0" fillId="0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16" borderId="0" xfId="0" applyFill="1"/>
    <xf numFmtId="0" fontId="0" fillId="4" borderId="0" xfId="0" applyFill="1"/>
    <xf numFmtId="0" fontId="0" fillId="0" borderId="0" xfId="0"/>
    <xf numFmtId="0" fontId="7" fillId="0" borderId="1" xfId="0" applyFont="1" applyBorder="1"/>
    <xf numFmtId="0" fontId="3" fillId="3" borderId="1" xfId="0" applyFont="1" applyFill="1" applyBorder="1" applyAlignment="1"/>
    <xf numFmtId="0" fontId="0" fillId="0" borderId="0" xfId="0" applyFill="1" applyBorder="1"/>
    <xf numFmtId="0" fontId="3" fillId="0" borderId="0" xfId="0" applyFont="1" applyFill="1" applyBorder="1" applyAlignment="1"/>
    <xf numFmtId="0" fontId="5" fillId="0" borderId="0" xfId="0" applyFont="1" applyFill="1" applyBorder="1"/>
    <xf numFmtId="0" fontId="5" fillId="0" borderId="1" xfId="0" applyFont="1" applyFill="1" applyBorder="1"/>
    <xf numFmtId="0" fontId="2" fillId="12" borderId="1" xfId="0" applyFont="1" applyFill="1" applyBorder="1" applyAlignment="1">
      <alignment horizontal="center" vertical="top"/>
    </xf>
    <xf numFmtId="10" fontId="0" fillId="3" borderId="1" xfId="0" applyNumberFormat="1" applyFill="1" applyBorder="1"/>
    <xf numFmtId="0" fontId="0" fillId="3" borderId="2" xfId="0" applyFill="1" applyBorder="1"/>
    <xf numFmtId="0" fontId="0" fillId="3" borderId="6" xfId="0" applyFill="1" applyBorder="1"/>
    <xf numFmtId="0" fontId="0" fillId="17" borderId="1" xfId="0" applyFill="1" applyBorder="1"/>
    <xf numFmtId="0" fontId="0" fillId="17" borderId="5" xfId="0" applyFill="1" applyBorder="1"/>
    <xf numFmtId="0" fontId="0" fillId="18" borderId="1" xfId="0" applyFill="1" applyBorder="1"/>
    <xf numFmtId="0" fontId="0" fillId="18" borderId="5" xfId="0" applyFill="1" applyBorder="1"/>
    <xf numFmtId="0" fontId="0" fillId="0" borderId="8" xfId="0" applyBorder="1"/>
    <xf numFmtId="0" fontId="0" fillId="0" borderId="6" xfId="0" applyFill="1" applyBorder="1"/>
    <xf numFmtId="0" fontId="0" fillId="0" borderId="5" xfId="0" applyFill="1" applyBorder="1"/>
    <xf numFmtId="0" fontId="0" fillId="5" borderId="4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0" xfId="0"/>
    <xf numFmtId="0" fontId="0" fillId="6" borderId="8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textRotation="180" wrapText="1"/>
    </xf>
    <xf numFmtId="0" fontId="0" fillId="12" borderId="0" xfId="0" applyFill="1" applyAlignment="1">
      <alignment horizont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AA6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pareto!$C$1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pareto!$B$2:$B$31</c:f>
              <c:numCache>
                <c:formatCode>General</c:formatCode>
                <c:ptCount val="30"/>
              </c:numCache>
            </c:numRef>
          </c:cat>
          <c:val>
            <c:numRef>
              <c:f>pareto!$C$2:$C$31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1120-4317-AB18-878440174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027775"/>
        <c:axId val="677026815"/>
      </c:barChart>
      <c:lineChart>
        <c:grouping val="standard"/>
        <c:varyColors val="0"/>
        <c:ser>
          <c:idx val="1"/>
          <c:order val="1"/>
          <c:tx>
            <c:strRef>
              <c:f>pareto!$E$1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rgbClr val="0AA62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pareto!$B$2:$B$31</c:f>
              <c:numCache>
                <c:formatCode>General</c:formatCode>
                <c:ptCount val="30"/>
              </c:numCache>
            </c:numRef>
          </c:cat>
          <c:val>
            <c:numRef>
              <c:f>pareto!$E$2:$E$31</c:f>
              <c:numCache>
                <c:formatCode>0.00%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20-4317-AB18-878440174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7032575"/>
        <c:axId val="677032095"/>
      </c:lineChart>
      <c:catAx>
        <c:axId val="67702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77026815"/>
        <c:crosses val="autoZero"/>
        <c:auto val="1"/>
        <c:lblAlgn val="ctr"/>
        <c:lblOffset val="100"/>
        <c:noMultiLvlLbl val="0"/>
      </c:catAx>
      <c:valAx>
        <c:axId val="67702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77027775"/>
        <c:crosses val="autoZero"/>
        <c:crossBetween val="between"/>
      </c:valAx>
      <c:valAx>
        <c:axId val="67703209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77032575"/>
        <c:crosses val="max"/>
        <c:crossBetween val="between"/>
      </c:valAx>
      <c:catAx>
        <c:axId val="677032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70320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742949</xdr:colOff>
      <xdr:row>1</xdr:row>
      <xdr:rowOff>176212</xdr:rowOff>
    </xdr:from>
    <xdr:to>
      <xdr:col>18</xdr:col>
      <xdr:colOff>638174</xdr:colOff>
      <xdr:row>24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3A87C7-A226-7405-B673-F0218FF18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8E21-911C-4798-9D55-39B5E0740447}">
  <dimension ref="A2:CF422"/>
  <sheetViews>
    <sheetView tabSelected="1" topLeftCell="A214" zoomScale="85" zoomScaleNormal="85" workbookViewId="0">
      <pane xSplit="17" topLeftCell="BW1" activePane="topRight" state="frozen"/>
      <selection activeCell="A199" sqref="A199"/>
      <selection pane="topRight" activeCell="G242" sqref="G242"/>
    </sheetView>
  </sheetViews>
  <sheetFormatPr baseColWidth="10" defaultRowHeight="15" x14ac:dyDescent="0.25"/>
  <cols>
    <col min="11" max="11" width="11.5703125" customWidth="1"/>
  </cols>
  <sheetData>
    <row r="2" spans="1:15" x14ac:dyDescent="0.25">
      <c r="A2" s="6" t="s">
        <v>0</v>
      </c>
      <c r="B2" s="1"/>
      <c r="C2" s="6" t="s">
        <v>310</v>
      </c>
      <c r="D2" s="1"/>
    </row>
    <row r="3" spans="1:15" x14ac:dyDescent="0.25">
      <c r="A3" s="6" t="s">
        <v>1</v>
      </c>
      <c r="B3" s="1"/>
    </row>
    <row r="5" spans="1:15" x14ac:dyDescent="0.25">
      <c r="A5" s="85" t="s">
        <v>2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</row>
    <row r="6" spans="1:15" x14ac:dyDescent="0.25">
      <c r="A6" s="96" t="s">
        <v>3</v>
      </c>
      <c r="B6" s="97"/>
      <c r="C6" s="97"/>
      <c r="D6" s="97"/>
      <c r="E6" s="98"/>
      <c r="G6" s="79" t="s">
        <v>298</v>
      </c>
      <c r="H6" s="79"/>
      <c r="I6" s="79"/>
    </row>
    <row r="7" spans="1:15" x14ac:dyDescent="0.25">
      <c r="A7" s="5" t="s">
        <v>4</v>
      </c>
      <c r="B7" s="5" t="s">
        <v>259</v>
      </c>
      <c r="C7" s="5" t="s">
        <v>6</v>
      </c>
      <c r="D7" s="5" t="s">
        <v>7</v>
      </c>
      <c r="E7" s="5" t="s">
        <v>8</v>
      </c>
      <c r="G7" s="39" t="s">
        <v>299</v>
      </c>
      <c r="H7" s="39" t="s">
        <v>259</v>
      </c>
      <c r="I7" s="39" t="s">
        <v>8</v>
      </c>
    </row>
    <row r="8" spans="1:15" x14ac:dyDescent="0.25">
      <c r="A8" s="4"/>
      <c r="B8" s="2" t="e">
        <f>(C8/$C$24)*1</f>
        <v>#DIV/0!</v>
      </c>
      <c r="C8" s="1">
        <f>SUM(D8:E8)</f>
        <v>0</v>
      </c>
      <c r="D8" s="4"/>
      <c r="E8" s="4"/>
      <c r="G8" s="36" t="s">
        <v>300</v>
      </c>
      <c r="H8" s="11" t="e">
        <f>(I8/$I$12)*1</f>
        <v>#DIV/0!</v>
      </c>
      <c r="I8" s="1"/>
    </row>
    <row r="9" spans="1:15" x14ac:dyDescent="0.25">
      <c r="A9" s="4"/>
      <c r="B9" s="2" t="e">
        <f t="shared" ref="B9:B23" si="0">(C9/$C$24)*1</f>
        <v>#DIV/0!</v>
      </c>
      <c r="C9" s="1">
        <f t="shared" ref="C9:C23" si="1">SUM(D9:E9)</f>
        <v>0</v>
      </c>
      <c r="D9" s="4"/>
      <c r="E9" s="4"/>
      <c r="G9" s="36" t="s">
        <v>301</v>
      </c>
      <c r="H9" s="11" t="e">
        <f t="shared" ref="H9:H11" si="2">(I9/$I$12)*1</f>
        <v>#DIV/0!</v>
      </c>
      <c r="I9" s="1"/>
    </row>
    <row r="10" spans="1:15" x14ac:dyDescent="0.25">
      <c r="A10" s="4"/>
      <c r="B10" s="2" t="e">
        <f t="shared" si="0"/>
        <v>#DIV/0!</v>
      </c>
      <c r="C10" s="1">
        <f t="shared" si="1"/>
        <v>0</v>
      </c>
      <c r="D10" s="4"/>
      <c r="E10" s="4"/>
      <c r="G10" s="36" t="s">
        <v>302</v>
      </c>
      <c r="H10" s="11" t="e">
        <f t="shared" si="2"/>
        <v>#DIV/0!</v>
      </c>
      <c r="I10" s="1"/>
    </row>
    <row r="11" spans="1:15" x14ac:dyDescent="0.25">
      <c r="A11" s="4"/>
      <c r="B11" s="2" t="e">
        <f t="shared" si="0"/>
        <v>#DIV/0!</v>
      </c>
      <c r="C11" s="1">
        <f t="shared" si="1"/>
        <v>0</v>
      </c>
      <c r="D11" s="4"/>
      <c r="E11" s="4"/>
      <c r="G11" s="36" t="s">
        <v>303</v>
      </c>
      <c r="H11" s="11" t="e">
        <f t="shared" si="2"/>
        <v>#DIV/0!</v>
      </c>
      <c r="I11" s="1"/>
    </row>
    <row r="12" spans="1:15" x14ac:dyDescent="0.25">
      <c r="A12" s="4"/>
      <c r="B12" s="2" t="e">
        <f t="shared" si="0"/>
        <v>#DIV/0!</v>
      </c>
      <c r="C12" s="1">
        <f t="shared" si="1"/>
        <v>0</v>
      </c>
      <c r="D12" s="4"/>
      <c r="E12" s="4"/>
      <c r="G12" s="1"/>
      <c r="H12" s="11" t="e">
        <f>SUM(H8:H11)</f>
        <v>#DIV/0!</v>
      </c>
      <c r="I12" s="4">
        <f>SUM(I8:I11)</f>
        <v>0</v>
      </c>
    </row>
    <row r="13" spans="1:15" x14ac:dyDescent="0.25">
      <c r="A13" s="4"/>
      <c r="B13" s="2" t="e">
        <f t="shared" si="0"/>
        <v>#DIV/0!</v>
      </c>
      <c r="C13" s="1">
        <f t="shared" si="1"/>
        <v>0</v>
      </c>
      <c r="D13" s="4"/>
      <c r="E13" s="4"/>
    </row>
    <row r="14" spans="1:15" x14ac:dyDescent="0.25">
      <c r="A14" s="4"/>
      <c r="B14" s="2" t="e">
        <f t="shared" si="0"/>
        <v>#DIV/0!</v>
      </c>
      <c r="C14" s="1">
        <f t="shared" si="1"/>
        <v>0</v>
      </c>
      <c r="D14" s="4"/>
      <c r="E14" s="4"/>
    </row>
    <row r="15" spans="1:15" x14ac:dyDescent="0.25">
      <c r="A15" s="4"/>
      <c r="B15" s="2" t="e">
        <f t="shared" si="0"/>
        <v>#DIV/0!</v>
      </c>
      <c r="C15" s="1">
        <f t="shared" si="1"/>
        <v>0</v>
      </c>
      <c r="D15" s="4"/>
      <c r="E15" s="4"/>
    </row>
    <row r="16" spans="1:15" x14ac:dyDescent="0.25">
      <c r="A16" s="4"/>
      <c r="B16" s="2" t="e">
        <f t="shared" si="0"/>
        <v>#DIV/0!</v>
      </c>
      <c r="C16" s="1">
        <f t="shared" si="1"/>
        <v>0</v>
      </c>
      <c r="D16" s="4"/>
      <c r="E16" s="4"/>
    </row>
    <row r="17" spans="1:6" x14ac:dyDescent="0.25">
      <c r="A17" s="4"/>
      <c r="B17" s="2" t="e">
        <f t="shared" si="0"/>
        <v>#DIV/0!</v>
      </c>
      <c r="C17" s="1">
        <f t="shared" si="1"/>
        <v>0</v>
      </c>
      <c r="D17" s="4"/>
      <c r="E17" s="4"/>
    </row>
    <row r="18" spans="1:6" x14ac:dyDescent="0.25">
      <c r="A18" s="4"/>
      <c r="B18" s="2" t="e">
        <f t="shared" si="0"/>
        <v>#DIV/0!</v>
      </c>
      <c r="C18" s="1">
        <f t="shared" si="1"/>
        <v>0</v>
      </c>
      <c r="D18" s="4"/>
      <c r="E18" s="4"/>
    </row>
    <row r="19" spans="1:6" x14ac:dyDescent="0.25">
      <c r="A19" s="4"/>
      <c r="B19" s="2" t="e">
        <f t="shared" si="0"/>
        <v>#DIV/0!</v>
      </c>
      <c r="C19" s="1">
        <f t="shared" si="1"/>
        <v>0</v>
      </c>
      <c r="D19" s="4"/>
      <c r="E19" s="4"/>
    </row>
    <row r="20" spans="1:6" x14ac:dyDescent="0.25">
      <c r="A20" s="4"/>
      <c r="B20" s="2" t="e">
        <f t="shared" si="0"/>
        <v>#DIV/0!</v>
      </c>
      <c r="C20" s="1">
        <f t="shared" si="1"/>
        <v>0</v>
      </c>
      <c r="D20" s="4"/>
      <c r="E20" s="4"/>
    </row>
    <row r="21" spans="1:6" x14ac:dyDescent="0.25">
      <c r="A21" s="4"/>
      <c r="B21" s="2" t="e">
        <f t="shared" si="0"/>
        <v>#DIV/0!</v>
      </c>
      <c r="C21" s="1">
        <f t="shared" si="1"/>
        <v>0</v>
      </c>
      <c r="D21" s="4"/>
      <c r="E21" s="4"/>
    </row>
    <row r="22" spans="1:6" x14ac:dyDescent="0.25">
      <c r="A22" s="4"/>
      <c r="B22" s="2" t="e">
        <f t="shared" si="0"/>
        <v>#DIV/0!</v>
      </c>
      <c r="C22" s="1">
        <f t="shared" si="1"/>
        <v>0</v>
      </c>
      <c r="D22" s="4"/>
      <c r="E22" s="4"/>
    </row>
    <row r="23" spans="1:6" x14ac:dyDescent="0.25">
      <c r="A23" s="4"/>
      <c r="B23" s="2" t="e">
        <f t="shared" si="0"/>
        <v>#DIV/0!</v>
      </c>
      <c r="C23" s="1">
        <f t="shared" si="1"/>
        <v>0</v>
      </c>
      <c r="D23" s="4"/>
      <c r="E23" s="4"/>
    </row>
    <row r="24" spans="1:6" x14ac:dyDescent="0.25">
      <c r="A24" s="1" t="s">
        <v>6</v>
      </c>
      <c r="B24" s="3" t="e">
        <f>SUM(B8:B23)</f>
        <v>#DIV/0!</v>
      </c>
      <c r="C24" s="1">
        <f>SUM(C8:C23)</f>
        <v>0</v>
      </c>
      <c r="D24" s="1">
        <f>SUM(D8:D23)</f>
        <v>0</v>
      </c>
      <c r="E24" s="1">
        <f>SUM(E8:E23)</f>
        <v>0</v>
      </c>
    </row>
    <row r="27" spans="1:6" x14ac:dyDescent="0.25">
      <c r="A27" s="106" t="s">
        <v>12</v>
      </c>
      <c r="B27" s="106"/>
      <c r="C27" s="106"/>
      <c r="D27" s="106"/>
      <c r="E27" s="106"/>
      <c r="F27" s="106"/>
    </row>
    <row r="28" spans="1:6" x14ac:dyDescent="0.25">
      <c r="A28" s="1"/>
      <c r="B28" s="1"/>
      <c r="C28" s="1"/>
      <c r="D28" s="5" t="s">
        <v>8</v>
      </c>
      <c r="E28" s="5" t="s">
        <v>7</v>
      </c>
      <c r="F28" s="5" t="s">
        <v>13</v>
      </c>
    </row>
    <row r="29" spans="1:6" x14ac:dyDescent="0.25">
      <c r="A29" s="8" t="s">
        <v>330</v>
      </c>
      <c r="B29" s="9" t="e">
        <f>(C29/$C$34)*1</f>
        <v>#DIV/0!</v>
      </c>
      <c r="C29" s="10">
        <f>SUM(D29:F29)</f>
        <v>0</v>
      </c>
      <c r="D29" s="7"/>
      <c r="E29" s="4"/>
      <c r="F29" s="4"/>
    </row>
    <row r="30" spans="1:6" x14ac:dyDescent="0.25">
      <c r="A30" s="8" t="s">
        <v>331</v>
      </c>
      <c r="B30" s="9" t="e">
        <f t="shared" ref="B30:B33" si="3">(C30/$C$34)*1</f>
        <v>#DIV/0!</v>
      </c>
      <c r="C30" s="10">
        <f>SUM(D30:F30)</f>
        <v>0</v>
      </c>
      <c r="D30" s="7"/>
      <c r="E30" s="4"/>
      <c r="F30" s="4"/>
    </row>
    <row r="31" spans="1:6" x14ac:dyDescent="0.25">
      <c r="A31" s="8" t="s">
        <v>332</v>
      </c>
      <c r="B31" s="9" t="e">
        <f t="shared" si="3"/>
        <v>#DIV/0!</v>
      </c>
      <c r="C31" s="10">
        <f t="shared" ref="C31:C33" si="4">SUM(D31:F31)</f>
        <v>0</v>
      </c>
      <c r="D31" s="7"/>
      <c r="E31" s="4"/>
      <c r="F31" s="4"/>
    </row>
    <row r="32" spans="1:6" x14ac:dyDescent="0.25">
      <c r="A32" s="8" t="s">
        <v>333</v>
      </c>
      <c r="B32" s="9" t="e">
        <f t="shared" si="3"/>
        <v>#DIV/0!</v>
      </c>
      <c r="C32" s="10">
        <f t="shared" si="4"/>
        <v>0</v>
      </c>
      <c r="D32" s="7"/>
      <c r="E32" s="4"/>
      <c r="F32" s="4"/>
    </row>
    <row r="33" spans="1:6" x14ac:dyDescent="0.25">
      <c r="A33" s="8" t="s">
        <v>334</v>
      </c>
      <c r="B33" s="9" t="e">
        <f t="shared" si="3"/>
        <v>#DIV/0!</v>
      </c>
      <c r="C33" s="10">
        <f t="shared" si="4"/>
        <v>0</v>
      </c>
      <c r="D33" s="7"/>
      <c r="E33" s="4"/>
      <c r="F33" s="4"/>
    </row>
    <row r="34" spans="1:6" x14ac:dyDescent="0.25">
      <c r="A34" s="1"/>
      <c r="B34" s="11" t="e">
        <f>SUM(B29:B33)</f>
        <v>#DIV/0!</v>
      </c>
      <c r="C34" s="6">
        <f>SUM(C29:C33)</f>
        <v>0</v>
      </c>
      <c r="D34" s="6">
        <f t="shared" ref="D34:E34" si="5">SUM(D29:D33)</f>
        <v>0</v>
      </c>
      <c r="E34" s="6">
        <f t="shared" si="5"/>
        <v>0</v>
      </c>
      <c r="F34" s="6">
        <f>SUM(F29:F33)</f>
        <v>0</v>
      </c>
    </row>
    <row r="37" spans="1:6" x14ac:dyDescent="0.25">
      <c r="A37" s="106" t="s">
        <v>14</v>
      </c>
      <c r="B37" s="106"/>
      <c r="C37" s="106"/>
      <c r="D37" s="106"/>
      <c r="E37" s="106"/>
      <c r="F37" s="106"/>
    </row>
    <row r="38" spans="1:6" x14ac:dyDescent="0.25">
      <c r="A38" s="1"/>
      <c r="B38" s="1"/>
      <c r="C38" s="1"/>
      <c r="D38" s="5" t="s">
        <v>8</v>
      </c>
      <c r="E38" s="5" t="s">
        <v>7</v>
      </c>
      <c r="F38" s="5" t="s">
        <v>13</v>
      </c>
    </row>
    <row r="39" spans="1:6" x14ac:dyDescent="0.25">
      <c r="A39" s="8" t="s">
        <v>15</v>
      </c>
      <c r="B39" s="9" t="e">
        <f>(C39/$C$47)*1</f>
        <v>#DIV/0!</v>
      </c>
      <c r="C39" s="10">
        <f>SUM(D39:F39)</f>
        <v>0</v>
      </c>
      <c r="D39" s="7"/>
      <c r="E39" s="4"/>
      <c r="F39" s="4"/>
    </row>
    <row r="40" spans="1:6" x14ac:dyDescent="0.25">
      <c r="A40" s="8" t="s">
        <v>16</v>
      </c>
      <c r="B40" s="9" t="e">
        <f t="shared" ref="B40:B46" si="6">(C40/$C$47)*1</f>
        <v>#DIV/0!</v>
      </c>
      <c r="C40" s="10">
        <f t="shared" ref="C40:C46" si="7">SUM(D40:F40)</f>
        <v>0</v>
      </c>
      <c r="D40" s="7"/>
      <c r="E40" s="4"/>
      <c r="F40" s="4"/>
    </row>
    <row r="41" spans="1:6" x14ac:dyDescent="0.25">
      <c r="A41" s="8" t="s">
        <v>17</v>
      </c>
      <c r="B41" s="9" t="e">
        <f t="shared" si="6"/>
        <v>#DIV/0!</v>
      </c>
      <c r="C41" s="10">
        <f t="shared" si="7"/>
        <v>0</v>
      </c>
      <c r="D41" s="7"/>
      <c r="E41" s="4"/>
      <c r="F41" s="4"/>
    </row>
    <row r="42" spans="1:6" x14ac:dyDescent="0.25">
      <c r="A42" s="8" t="s">
        <v>18</v>
      </c>
      <c r="B42" s="9" t="e">
        <f t="shared" si="6"/>
        <v>#DIV/0!</v>
      </c>
      <c r="C42" s="10">
        <f t="shared" si="7"/>
        <v>0</v>
      </c>
      <c r="D42" s="7"/>
      <c r="E42" s="4"/>
      <c r="F42" s="4"/>
    </row>
    <row r="43" spans="1:6" x14ac:dyDescent="0.25">
      <c r="A43" s="8" t="s">
        <v>19</v>
      </c>
      <c r="B43" s="9" t="e">
        <f t="shared" si="6"/>
        <v>#DIV/0!</v>
      </c>
      <c r="C43" s="10">
        <f t="shared" si="7"/>
        <v>0</v>
      </c>
      <c r="D43" s="7"/>
      <c r="E43" s="4"/>
      <c r="F43" s="4"/>
    </row>
    <row r="44" spans="1:6" x14ac:dyDescent="0.25">
      <c r="A44" s="8" t="s">
        <v>20</v>
      </c>
      <c r="B44" s="9" t="e">
        <f t="shared" si="6"/>
        <v>#DIV/0!</v>
      </c>
      <c r="C44" s="10">
        <f t="shared" si="7"/>
        <v>0</v>
      </c>
      <c r="D44" s="7"/>
      <c r="E44" s="4"/>
      <c r="F44" s="4"/>
    </row>
    <row r="45" spans="1:6" x14ac:dyDescent="0.25">
      <c r="A45" s="8" t="s">
        <v>21</v>
      </c>
      <c r="B45" s="9" t="e">
        <f t="shared" si="6"/>
        <v>#DIV/0!</v>
      </c>
      <c r="C45" s="10">
        <f t="shared" si="7"/>
        <v>0</v>
      </c>
      <c r="D45" s="7"/>
      <c r="E45" s="4"/>
      <c r="F45" s="4"/>
    </row>
    <row r="46" spans="1:6" x14ac:dyDescent="0.25">
      <c r="A46" s="8" t="s">
        <v>22</v>
      </c>
      <c r="B46" s="9" t="e">
        <f t="shared" si="6"/>
        <v>#DIV/0!</v>
      </c>
      <c r="C46" s="10">
        <f t="shared" si="7"/>
        <v>0</v>
      </c>
      <c r="D46" s="7"/>
      <c r="E46" s="4"/>
      <c r="F46" s="4"/>
    </row>
    <row r="47" spans="1:6" x14ac:dyDescent="0.25">
      <c r="A47" s="1"/>
      <c r="B47" s="11" t="e">
        <f>SUM(B39:B46)</f>
        <v>#DIV/0!</v>
      </c>
      <c r="C47" s="6">
        <f>SUM(C39:C46)</f>
        <v>0</v>
      </c>
      <c r="D47" s="6">
        <f>SUM(D39:D46)</f>
        <v>0</v>
      </c>
      <c r="E47" s="6">
        <f>SUM(E39:E46)</f>
        <v>0</v>
      </c>
      <c r="F47" s="6">
        <f>SUM(F39:F46)</f>
        <v>0</v>
      </c>
    </row>
    <row r="50" spans="1:10" x14ac:dyDescent="0.25">
      <c r="A50" s="86" t="s">
        <v>23</v>
      </c>
      <c r="B50" s="87"/>
      <c r="C50" s="87"/>
      <c r="D50" s="87"/>
      <c r="E50" s="87"/>
      <c r="F50" s="88"/>
    </row>
    <row r="51" spans="1:10" x14ac:dyDescent="0.25">
      <c r="A51" s="1"/>
      <c r="B51" s="1"/>
      <c r="C51" s="1"/>
      <c r="D51" s="5" t="s">
        <v>8</v>
      </c>
      <c r="E51" s="5" t="s">
        <v>7</v>
      </c>
      <c r="F51" s="5" t="s">
        <v>13</v>
      </c>
    </row>
    <row r="52" spans="1:10" x14ac:dyDescent="0.25">
      <c r="A52" s="8" t="s">
        <v>24</v>
      </c>
      <c r="B52" s="9" t="e">
        <f>(C52/$C$55)*1</f>
        <v>#DIV/0!</v>
      </c>
      <c r="C52" s="10">
        <f>SUM(D52:F52)</f>
        <v>0</v>
      </c>
      <c r="D52" s="7"/>
      <c r="E52" s="4"/>
      <c r="F52" s="4"/>
    </row>
    <row r="53" spans="1:10" x14ac:dyDescent="0.25">
      <c r="A53" s="8" t="s">
        <v>25</v>
      </c>
      <c r="B53" s="9" t="e">
        <f t="shared" ref="B53:B54" si="8">(C53/$C$55)*1</f>
        <v>#DIV/0!</v>
      </c>
      <c r="C53" s="10">
        <f t="shared" ref="C53:C54" si="9">SUM(D53:F53)</f>
        <v>0</v>
      </c>
      <c r="D53" s="7"/>
      <c r="E53" s="4"/>
      <c r="F53" s="4"/>
    </row>
    <row r="54" spans="1:10" x14ac:dyDescent="0.25">
      <c r="A54" s="8" t="s">
        <v>26</v>
      </c>
      <c r="B54" s="9" t="e">
        <f t="shared" si="8"/>
        <v>#DIV/0!</v>
      </c>
      <c r="C54" s="10">
        <f t="shared" si="9"/>
        <v>0</v>
      </c>
      <c r="D54" s="7"/>
      <c r="E54" s="4"/>
      <c r="F54" s="4"/>
    </row>
    <row r="55" spans="1:10" x14ac:dyDescent="0.25">
      <c r="A55" s="1"/>
      <c r="B55" s="11" t="e">
        <f>SUM(B52:B54)</f>
        <v>#DIV/0!</v>
      </c>
      <c r="C55" s="6">
        <f>SUM(C52:C54)</f>
        <v>0</v>
      </c>
      <c r="D55" s="6">
        <f>SUM(D52:D54)</f>
        <v>0</v>
      </c>
      <c r="E55" s="6">
        <f>SUM(E52:E54)</f>
        <v>0</v>
      </c>
      <c r="F55" s="6">
        <f>SUM(F52:F54)</f>
        <v>0</v>
      </c>
    </row>
    <row r="57" spans="1:10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</row>
    <row r="58" spans="1:10" x14ac:dyDescent="0.25">
      <c r="A58" s="79" t="s">
        <v>27</v>
      </c>
      <c r="B58" s="79"/>
      <c r="C58" s="84" t="s">
        <v>31</v>
      </c>
      <c r="D58" s="84"/>
    </row>
    <row r="59" spans="1:10" x14ac:dyDescent="0.25">
      <c r="A59" s="1" t="s">
        <v>1</v>
      </c>
      <c r="B59" s="1" t="s">
        <v>28</v>
      </c>
      <c r="C59" s="1" t="s">
        <v>29</v>
      </c>
      <c r="D59" s="1" t="s">
        <v>30</v>
      </c>
    </row>
    <row r="60" spans="1:10" x14ac:dyDescent="0.25">
      <c r="A60" s="1" t="s">
        <v>11</v>
      </c>
      <c r="B60" s="4"/>
      <c r="C60" s="4"/>
      <c r="D60" s="4"/>
    </row>
    <row r="62" spans="1:10" ht="15" customHeight="1" x14ac:dyDescent="0.25">
      <c r="A62" s="79" t="s">
        <v>27</v>
      </c>
      <c r="B62" s="79"/>
      <c r="C62" s="84" t="s">
        <v>31</v>
      </c>
      <c r="D62" s="84"/>
      <c r="E62" s="107" t="s">
        <v>8</v>
      </c>
      <c r="G62" s="79" t="s">
        <v>32</v>
      </c>
      <c r="H62" s="79"/>
      <c r="I62" s="84" t="s">
        <v>31</v>
      </c>
      <c r="J62" s="84"/>
    </row>
    <row r="63" spans="1:10" x14ac:dyDescent="0.25">
      <c r="A63" s="6" t="s">
        <v>4</v>
      </c>
      <c r="B63" s="6" t="s">
        <v>28</v>
      </c>
      <c r="C63" s="6" t="s">
        <v>29</v>
      </c>
      <c r="D63" s="6" t="s">
        <v>30</v>
      </c>
      <c r="E63" s="107"/>
      <c r="G63" s="1" t="s">
        <v>4</v>
      </c>
      <c r="H63" s="1" t="s">
        <v>28</v>
      </c>
      <c r="I63" s="1" t="s">
        <v>29</v>
      </c>
      <c r="J63" s="1" t="s">
        <v>30</v>
      </c>
    </row>
    <row r="64" spans="1:10" x14ac:dyDescent="0.25">
      <c r="A64" s="6"/>
      <c r="B64" s="1"/>
      <c r="C64" s="4"/>
      <c r="D64" s="4"/>
      <c r="E64" s="107"/>
      <c r="G64" s="1" t="s">
        <v>7</v>
      </c>
      <c r="H64" s="4"/>
      <c r="I64" s="4"/>
      <c r="J64" s="4"/>
    </row>
    <row r="65" spans="1:10" x14ac:dyDescent="0.25">
      <c r="A65" s="6"/>
      <c r="B65" s="1"/>
      <c r="C65" s="4"/>
      <c r="D65" s="4"/>
      <c r="E65" s="107"/>
      <c r="G65" s="1" t="s">
        <v>33</v>
      </c>
      <c r="H65" s="1"/>
      <c r="I65" s="4"/>
      <c r="J65" s="4"/>
    </row>
    <row r="66" spans="1:10" x14ac:dyDescent="0.25">
      <c r="A66" s="6"/>
      <c r="B66" s="1"/>
      <c r="C66" s="4"/>
      <c r="D66" s="4"/>
      <c r="E66" s="107"/>
    </row>
    <row r="67" spans="1:10" x14ac:dyDescent="0.25">
      <c r="A67" s="6"/>
      <c r="B67" s="1"/>
      <c r="C67" s="4"/>
      <c r="D67" s="4"/>
      <c r="E67" s="107"/>
    </row>
    <row r="68" spans="1:10" x14ac:dyDescent="0.25">
      <c r="A68" s="6"/>
      <c r="B68" s="1"/>
      <c r="C68" s="4"/>
      <c r="D68" s="4"/>
      <c r="E68" s="107"/>
    </row>
    <row r="69" spans="1:10" x14ac:dyDescent="0.25">
      <c r="A69" s="6"/>
      <c r="B69" s="1"/>
      <c r="C69" s="4"/>
      <c r="D69" s="4"/>
      <c r="E69" s="107"/>
    </row>
    <row r="70" spans="1:10" x14ac:dyDescent="0.25">
      <c r="A70" s="6"/>
      <c r="B70" s="1"/>
      <c r="C70" s="4"/>
      <c r="D70" s="4"/>
      <c r="E70" s="107"/>
    </row>
    <row r="71" spans="1:10" x14ac:dyDescent="0.25">
      <c r="A71" s="6"/>
      <c r="B71" s="1"/>
      <c r="C71" s="4"/>
      <c r="D71" s="4"/>
      <c r="E71" s="107"/>
    </row>
    <row r="72" spans="1:10" x14ac:dyDescent="0.25">
      <c r="A72" s="6"/>
      <c r="B72" s="1"/>
      <c r="C72" s="4"/>
      <c r="D72" s="4"/>
      <c r="E72" s="107"/>
    </row>
    <row r="73" spans="1:10" x14ac:dyDescent="0.25">
      <c r="A73" s="6"/>
      <c r="B73" s="1"/>
      <c r="C73" s="4"/>
      <c r="D73" s="4"/>
      <c r="E73" s="107"/>
    </row>
    <row r="74" spans="1:10" x14ac:dyDescent="0.25">
      <c r="A74" s="6"/>
      <c r="B74" s="1"/>
      <c r="C74" s="4"/>
      <c r="D74" s="4"/>
      <c r="E74" s="107"/>
    </row>
    <row r="75" spans="1:10" x14ac:dyDescent="0.25">
      <c r="A75" s="6"/>
      <c r="B75" s="1"/>
      <c r="C75" s="4"/>
      <c r="D75" s="4"/>
      <c r="E75" s="107"/>
    </row>
    <row r="76" spans="1:10" x14ac:dyDescent="0.25">
      <c r="A76" s="6"/>
      <c r="B76" s="1"/>
      <c r="C76" s="4"/>
      <c r="D76" s="4"/>
      <c r="E76" s="107"/>
    </row>
    <row r="77" spans="1:10" x14ac:dyDescent="0.25">
      <c r="A77" s="6"/>
      <c r="B77" s="1"/>
      <c r="C77" s="4"/>
      <c r="D77" s="4"/>
      <c r="E77" s="107"/>
    </row>
    <row r="78" spans="1:10" x14ac:dyDescent="0.25">
      <c r="A78" s="6"/>
      <c r="B78" s="1"/>
      <c r="C78" s="4"/>
      <c r="D78" s="4"/>
      <c r="E78" s="107"/>
    </row>
    <row r="81" spans="1:4" x14ac:dyDescent="0.25">
      <c r="A81" s="96" t="s">
        <v>34</v>
      </c>
      <c r="B81" s="97"/>
      <c r="C81" s="98"/>
    </row>
    <row r="82" spans="1:4" x14ac:dyDescent="0.25">
      <c r="A82" s="82" t="s">
        <v>38</v>
      </c>
      <c r="B82" s="94"/>
      <c r="C82" s="83"/>
    </row>
    <row r="83" spans="1:4" x14ac:dyDescent="0.25">
      <c r="A83" s="1" t="s">
        <v>8</v>
      </c>
      <c r="B83" s="4"/>
      <c r="C83" s="99"/>
    </row>
    <row r="84" spans="1:4" x14ac:dyDescent="0.25">
      <c r="A84" s="1" t="s">
        <v>7</v>
      </c>
      <c r="B84" s="4"/>
      <c r="C84" s="100"/>
    </row>
    <row r="85" spans="1:4" x14ac:dyDescent="0.25">
      <c r="A85" s="1" t="s">
        <v>33</v>
      </c>
      <c r="B85" s="4"/>
      <c r="C85" s="100"/>
    </row>
    <row r="86" spans="1:4" x14ac:dyDescent="0.25">
      <c r="A86" s="1" t="s">
        <v>37</v>
      </c>
      <c r="B86" s="12"/>
      <c r="C86" s="101"/>
    </row>
    <row r="87" spans="1:4" x14ac:dyDescent="0.25">
      <c r="A87" s="1" t="s">
        <v>36</v>
      </c>
      <c r="B87" s="12"/>
      <c r="C87" s="12">
        <f>B86+B87</f>
        <v>0</v>
      </c>
    </row>
    <row r="88" spans="1:4" x14ac:dyDescent="0.25">
      <c r="A88" s="1"/>
      <c r="B88" s="1">
        <f>SUM(B83:B87)</f>
        <v>0</v>
      </c>
      <c r="C88" s="1"/>
    </row>
    <row r="90" spans="1:4" x14ac:dyDescent="0.25">
      <c r="A90" s="79" t="s">
        <v>35</v>
      </c>
      <c r="B90" s="79"/>
      <c r="C90" s="79"/>
    </row>
    <row r="91" spans="1:4" x14ac:dyDescent="0.25">
      <c r="A91" s="84" t="s">
        <v>39</v>
      </c>
      <c r="B91" s="84"/>
      <c r="C91" s="84"/>
    </row>
    <row r="92" spans="1:4" x14ac:dyDescent="0.25">
      <c r="A92" s="6" t="s">
        <v>42</v>
      </c>
      <c r="B92" s="6" t="s">
        <v>40</v>
      </c>
      <c r="C92" s="6" t="s">
        <v>41</v>
      </c>
      <c r="D92" s="67" t="s">
        <v>554</v>
      </c>
    </row>
    <row r="93" spans="1:4" x14ac:dyDescent="0.25">
      <c r="A93" s="1">
        <f>B88</f>
        <v>0</v>
      </c>
      <c r="B93" s="1">
        <f>(D93-1)</f>
        <v>-1</v>
      </c>
      <c r="C93" s="1">
        <f>D118</f>
        <v>0</v>
      </c>
      <c r="D93" s="1"/>
    </row>
    <row r="94" spans="1:4" x14ac:dyDescent="0.25">
      <c r="D94" t="s">
        <v>555</v>
      </c>
    </row>
    <row r="95" spans="1:4" x14ac:dyDescent="0.25">
      <c r="A95" s="102" t="s">
        <v>46</v>
      </c>
      <c r="B95" s="103"/>
      <c r="C95" s="104"/>
      <c r="D95" s="105"/>
    </row>
    <row r="96" spans="1:4" x14ac:dyDescent="0.25">
      <c r="A96" s="13"/>
      <c r="B96" s="15" t="s">
        <v>43</v>
      </c>
      <c r="C96" s="15" t="s">
        <v>44</v>
      </c>
      <c r="D96" s="105"/>
    </row>
    <row r="97" spans="1:4" x14ac:dyDescent="0.25">
      <c r="A97" s="13">
        <v>1</v>
      </c>
      <c r="B97" s="4"/>
      <c r="C97" s="4"/>
      <c r="D97" s="105"/>
    </row>
    <row r="98" spans="1:4" x14ac:dyDescent="0.25">
      <c r="A98" s="13">
        <v>2</v>
      </c>
      <c r="B98" s="4"/>
      <c r="C98" s="4"/>
      <c r="D98" s="105"/>
    </row>
    <row r="99" spans="1:4" x14ac:dyDescent="0.25">
      <c r="A99" s="13">
        <v>3</v>
      </c>
      <c r="B99" s="4"/>
      <c r="C99" s="4"/>
      <c r="D99" s="105"/>
    </row>
    <row r="100" spans="1:4" x14ac:dyDescent="0.25">
      <c r="A100" s="13">
        <v>4</v>
      </c>
      <c r="B100" s="4"/>
      <c r="C100" s="4"/>
      <c r="D100" s="105"/>
    </row>
    <row r="101" spans="1:4" x14ac:dyDescent="0.25">
      <c r="A101" s="13">
        <v>5</v>
      </c>
      <c r="B101" s="4"/>
      <c r="C101" s="4"/>
      <c r="D101" s="105"/>
    </row>
    <row r="102" spans="1:4" x14ac:dyDescent="0.25">
      <c r="A102" s="13">
        <v>6</v>
      </c>
      <c r="B102" s="4"/>
      <c r="C102" s="4"/>
      <c r="D102" s="105"/>
    </row>
    <row r="103" spans="1:4" x14ac:dyDescent="0.25">
      <c r="A103" s="13">
        <v>7</v>
      </c>
      <c r="B103" s="4"/>
      <c r="C103" s="4"/>
      <c r="D103" s="105"/>
    </row>
    <row r="104" spans="1:4" x14ac:dyDescent="0.25">
      <c r="A104" s="13">
        <v>8</v>
      </c>
      <c r="B104" s="4"/>
      <c r="C104" s="4"/>
      <c r="D104" s="105"/>
    </row>
    <row r="105" spans="1:4" x14ac:dyDescent="0.25">
      <c r="A105" s="13">
        <v>9</v>
      </c>
      <c r="B105" s="4"/>
      <c r="C105" s="4"/>
      <c r="D105" s="105"/>
    </row>
    <row r="106" spans="1:4" x14ac:dyDescent="0.25">
      <c r="A106" s="13">
        <v>10</v>
      </c>
      <c r="B106" s="4"/>
      <c r="C106" s="4"/>
      <c r="D106" s="105"/>
    </row>
    <row r="107" spans="1:4" x14ac:dyDescent="0.25">
      <c r="A107" s="13">
        <v>11</v>
      </c>
      <c r="B107" s="4"/>
      <c r="C107" s="4"/>
      <c r="D107" s="105"/>
    </row>
    <row r="108" spans="1:4" x14ac:dyDescent="0.25">
      <c r="A108" s="13">
        <v>12</v>
      </c>
      <c r="B108" s="4"/>
      <c r="C108" s="4"/>
      <c r="D108" s="105"/>
    </row>
    <row r="109" spans="1:4" x14ac:dyDescent="0.25">
      <c r="A109" s="13">
        <v>13</v>
      </c>
      <c r="B109" s="4"/>
      <c r="C109" s="4"/>
      <c r="D109" s="105"/>
    </row>
    <row r="110" spans="1:4" x14ac:dyDescent="0.25">
      <c r="A110" s="13">
        <v>14</v>
      </c>
      <c r="B110" s="4"/>
      <c r="C110" s="4"/>
      <c r="D110" s="105"/>
    </row>
    <row r="111" spans="1:4" x14ac:dyDescent="0.25">
      <c r="A111" s="13">
        <v>15</v>
      </c>
      <c r="B111" s="4"/>
      <c r="C111" s="4"/>
      <c r="D111" s="105"/>
    </row>
    <row r="112" spans="1:4" x14ac:dyDescent="0.25">
      <c r="A112" s="13">
        <v>16</v>
      </c>
      <c r="B112" s="14"/>
      <c r="C112" s="14"/>
      <c r="D112" s="105"/>
    </row>
    <row r="113" spans="1:13" x14ac:dyDescent="0.25">
      <c r="A113" s="13">
        <v>17</v>
      </c>
      <c r="B113" s="14"/>
      <c r="C113" s="14"/>
      <c r="D113" s="105"/>
    </row>
    <row r="114" spans="1:13" x14ac:dyDescent="0.25">
      <c r="A114" s="13">
        <v>18</v>
      </c>
      <c r="B114" s="14"/>
      <c r="C114" s="14"/>
      <c r="D114" s="105"/>
    </row>
    <row r="115" spans="1:13" x14ac:dyDescent="0.25">
      <c r="A115" s="13">
        <v>19</v>
      </c>
      <c r="B115" s="14"/>
      <c r="C115" s="14"/>
      <c r="D115" s="105"/>
    </row>
    <row r="116" spans="1:13" x14ac:dyDescent="0.25">
      <c r="A116" s="13">
        <v>20</v>
      </c>
      <c r="B116" s="14"/>
      <c r="C116" s="14"/>
      <c r="D116" s="105"/>
    </row>
    <row r="117" spans="1:13" x14ac:dyDescent="0.25">
      <c r="A117" s="13">
        <v>21</v>
      </c>
      <c r="B117" s="14"/>
      <c r="C117" s="14"/>
      <c r="D117" s="15" t="s">
        <v>48</v>
      </c>
    </row>
    <row r="118" spans="1:13" x14ac:dyDescent="0.25">
      <c r="A118" s="13" t="s">
        <v>6</v>
      </c>
      <c r="B118" s="13">
        <f>COUNTIF(B97:B117, "*")</f>
        <v>0</v>
      </c>
      <c r="C118" s="13">
        <f>COUNTIF(C97:C117, "*")</f>
        <v>0</v>
      </c>
      <c r="D118" s="1">
        <f>SUM(B118:C118)</f>
        <v>0</v>
      </c>
    </row>
    <row r="119" spans="1:13" x14ac:dyDescent="0.25">
      <c r="A119" s="1" t="s">
        <v>47</v>
      </c>
      <c r="B119" s="11" t="e">
        <f>(B118/$D$118)*1</f>
        <v>#DIV/0!</v>
      </c>
      <c r="C119" s="11" t="e">
        <f>(C118/$D$118)*1</f>
        <v>#DIV/0!</v>
      </c>
      <c r="D119" s="11" t="e">
        <f>SUM(B119:C119)</f>
        <v>#DIV/0!</v>
      </c>
    </row>
    <row r="122" spans="1:13" x14ac:dyDescent="0.25">
      <c r="A122" s="86" t="s">
        <v>49</v>
      </c>
      <c r="B122" s="87"/>
      <c r="C122" s="87"/>
      <c r="D122" s="87"/>
      <c r="E122" s="88"/>
      <c r="F122" s="105"/>
      <c r="G122" s="86" t="s">
        <v>55</v>
      </c>
      <c r="H122" s="87"/>
      <c r="I122" s="87"/>
      <c r="J122" s="87"/>
      <c r="K122" s="87"/>
      <c r="L122" s="88"/>
      <c r="M122" s="81"/>
    </row>
    <row r="123" spans="1:13" x14ac:dyDescent="0.25">
      <c r="A123" s="1"/>
      <c r="B123" s="6" t="s">
        <v>50</v>
      </c>
      <c r="C123" s="6" t="s">
        <v>51</v>
      </c>
      <c r="D123" s="6" t="s">
        <v>53</v>
      </c>
      <c r="E123" s="6" t="s">
        <v>52</v>
      </c>
      <c r="F123" s="105"/>
      <c r="G123" s="6" t="s">
        <v>50</v>
      </c>
      <c r="H123" s="6" t="s">
        <v>56</v>
      </c>
      <c r="I123" s="6" t="s">
        <v>51</v>
      </c>
      <c r="J123" s="21" t="s">
        <v>56</v>
      </c>
      <c r="K123" s="23" t="s">
        <v>175</v>
      </c>
      <c r="L123" s="23" t="s">
        <v>43</v>
      </c>
      <c r="M123" s="81"/>
    </row>
    <row r="124" spans="1:13" x14ac:dyDescent="0.25">
      <c r="A124" s="1"/>
      <c r="B124" s="4"/>
      <c r="C124" s="4"/>
      <c r="D124" s="4"/>
      <c r="E124" s="4"/>
      <c r="F124" s="105"/>
      <c r="G124" s="1">
        <f>B124</f>
        <v>0</v>
      </c>
      <c r="H124" s="10" t="str" cm="1">
        <f t="array" ref="H124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UPPER(TRIM(CLEAN(SUBSTITUTE(G124,CHAR(160),"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UPPER(TRIM(CLEAN(SUBSTITUTE(G124,CHAR(160)," ")))),
    "Á","A"),"É","E"),"Í","I"),"Ó","O"),"Ú","U"),"Ü","U"),"Ñ","N")
  ))&gt;0,
  "R",
  ""
 )
)</f>
        <v/>
      </c>
      <c r="I124" s="1" cm="1">
        <f t="array" ref="I124:I140">C124:C140</f>
        <v>0</v>
      </c>
      <c r="J124" s="17" t="str" cm="1">
        <f t="array" ref="J124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UPPER(TRIM(CLEAN(SUBSTITUTE(I124,CHAR(160),"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UPPER(TRIM(CLEAN(SUBSTITUTE(I124,CHAR(160)," ")))),
    "Á","A"),"É","E"),"Í","I"),"Ó","O"),"Ú","U"),"Ü","U"),"Ñ","N")
  ))&gt;0,
  "R",
  ""
 )
)</f>
        <v/>
      </c>
      <c r="K124" s="22"/>
      <c r="L124" s="22"/>
      <c r="M124" s="81"/>
    </row>
    <row r="125" spans="1:13" x14ac:dyDescent="0.25">
      <c r="A125" s="1"/>
      <c r="B125" s="19"/>
      <c r="C125" s="4"/>
      <c r="D125" s="4"/>
      <c r="E125" s="4"/>
      <c r="F125" s="105"/>
      <c r="G125" s="20">
        <f t="shared" ref="G125:G140" si="10">B125</f>
        <v>0</v>
      </c>
      <c r="H125" s="10" t="str" cm="1">
        <f t="array" ref="H125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UPPER(TRIM(CLEAN(SUBSTITUTE(G125,CHAR(160),"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UPPER(TRIM(CLEAN(SUBSTITUTE(G125,CHAR(160)," ")))),
    "Á","A"),"É","E"),"Í","I"),"Ó","O"),"Ú","U"),"Ü","U"),"Ñ","N")
  ))&gt;0,
  "R",
  ""
 )
)</f>
        <v/>
      </c>
      <c r="I125" s="1">
        <v>0</v>
      </c>
      <c r="J125" s="17" t="str" cm="1">
        <f t="array" ref="J125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UPPER(TRIM(CLEAN(SUBSTITUTE(I125,CHAR(160),"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UPPER(TRIM(CLEAN(SUBSTITUTE(I125,CHAR(160)," ")))),
    "Á","A"),"É","E"),"Í","I"),"Ó","O"),"Ú","U"),"Ü","U"),"Ñ","N")
  ))&gt;0,
  "R",
  ""
 )
)</f>
        <v/>
      </c>
      <c r="K125" s="22"/>
      <c r="L125" s="22"/>
      <c r="M125" s="81"/>
    </row>
    <row r="126" spans="1:13" x14ac:dyDescent="0.25">
      <c r="A126" s="1"/>
      <c r="B126" s="4"/>
      <c r="C126" s="4"/>
      <c r="D126" s="4"/>
      <c r="E126" s="4"/>
      <c r="F126" s="105"/>
      <c r="G126" s="1">
        <f t="shared" si="10"/>
        <v>0</v>
      </c>
      <c r="H126" s="10" t="str" cm="1">
        <f t="array" ref="H126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UPPER(TRIM(CLEAN(SUBSTITUTE(G126,CHAR(160),"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UPPER(TRIM(CLEAN(SUBSTITUTE(G126,CHAR(160)," ")))),
    "Á","A"),"É","E"),"Í","I"),"Ó","O"),"Ú","U"),"Ü","U"),"Ñ","N")
  ))&gt;0,
  "R",
  ""
 )
)</f>
        <v/>
      </c>
      <c r="I126" s="1">
        <v>0</v>
      </c>
      <c r="J126" s="17" t="str" cm="1">
        <f t="array" ref="J126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UPPER(TRIM(CLEAN(SUBSTITUTE(I126,CHAR(160),"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UPPER(TRIM(CLEAN(SUBSTITUTE(I126,CHAR(160)," ")))),
    "Á","A"),"É","E"),"Í","I"),"Ó","O"),"Ú","U"),"Ü","U"),"Ñ","N")
  ))&gt;0,
  "R",
  ""
 )
)</f>
        <v/>
      </c>
      <c r="K126" s="22"/>
      <c r="L126" s="22"/>
      <c r="M126" s="81"/>
    </row>
    <row r="127" spans="1:13" x14ac:dyDescent="0.25">
      <c r="A127" s="1"/>
      <c r="B127" s="19"/>
      <c r="C127" s="4"/>
      <c r="D127" s="4"/>
      <c r="E127" s="4"/>
      <c r="F127" s="105"/>
      <c r="G127" s="1">
        <f t="shared" si="10"/>
        <v>0</v>
      </c>
      <c r="H127" s="10" t="str" cm="1">
        <f t="array" ref="H127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UPPER(TRIM(CLEAN(SUBSTITUTE(G127,CHAR(160),"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UPPER(TRIM(CLEAN(SUBSTITUTE(G127,CHAR(160)," ")))),
    "Á","A"),"É","E"),"Í","I"),"Ó","O"),"Ú","U"),"Ü","U"),"Ñ","N")
  ))&gt;0,
  "R",
  ""
 )
)</f>
        <v/>
      </c>
      <c r="I127" s="1">
        <v>0</v>
      </c>
      <c r="J127" s="17" t="str" cm="1">
        <f t="array" ref="J127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UPPER(TRIM(CLEAN(SUBSTITUTE(I127,CHAR(160),"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UPPER(TRIM(CLEAN(SUBSTITUTE(I127,CHAR(160)," ")))),
    "Á","A"),"É","E"),"Í","I"),"Ó","O"),"Ú","U"),"Ü","U"),"Ñ","N")
  ))&gt;0,
  "R",
  ""
 )
)</f>
        <v/>
      </c>
      <c r="K127" s="22"/>
      <c r="L127" s="22"/>
      <c r="M127" s="81"/>
    </row>
    <row r="128" spans="1:13" x14ac:dyDescent="0.25">
      <c r="A128" s="1"/>
      <c r="B128" s="4"/>
      <c r="C128" s="4"/>
      <c r="D128" s="4"/>
      <c r="E128" s="4"/>
      <c r="F128" s="105"/>
      <c r="G128" s="1">
        <f t="shared" si="10"/>
        <v>0</v>
      </c>
      <c r="H128" s="10" t="str" cm="1">
        <f t="array" ref="H128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UPPER(TRIM(CLEAN(SUBSTITUTE(G128,CHAR(160),"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UPPER(TRIM(CLEAN(SUBSTITUTE(G128,CHAR(160)," ")))),
    "Á","A"),"É","E"),"Í","I"),"Ó","O"),"Ú","U"),"Ü","U"),"Ñ","N")
  ))&gt;0,
  "R",
  ""
 )
)</f>
        <v/>
      </c>
      <c r="I128" s="1">
        <v>0</v>
      </c>
      <c r="J128" s="17" t="str" cm="1">
        <f t="array" ref="J128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UPPER(TRIM(CLEAN(SUBSTITUTE(I128,CHAR(160),"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UPPER(TRIM(CLEAN(SUBSTITUTE(I128,CHAR(160)," ")))),
    "Á","A"),"É","E"),"Í","I"),"Ó","O"),"Ú","U"),"Ü","U"),"Ñ","N")
  ))&gt;0,
  "R",
  ""
 )
)</f>
        <v/>
      </c>
      <c r="K128" s="22"/>
      <c r="L128" s="22"/>
      <c r="M128" s="81"/>
    </row>
    <row r="129" spans="1:13" x14ac:dyDescent="0.25">
      <c r="A129" s="1"/>
      <c r="B129" s="4"/>
      <c r="C129" s="4"/>
      <c r="D129" s="4"/>
      <c r="E129" s="4"/>
      <c r="F129" s="105"/>
      <c r="G129" s="1">
        <f t="shared" si="10"/>
        <v>0</v>
      </c>
      <c r="H129" s="10" t="str" cm="1">
        <f t="array" ref="H129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UPPER(TRIM(CLEAN(SUBSTITUTE(G129,CHAR(160),"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UPPER(TRIM(CLEAN(SUBSTITUTE(G129,CHAR(160)," ")))),
    "Á","A"),"É","E"),"Í","I"),"Ó","O"),"Ú","U"),"Ü","U"),"Ñ","N")
  ))&gt;0,
  "R",
  ""
 )
)</f>
        <v/>
      </c>
      <c r="I129" s="1">
        <v>0</v>
      </c>
      <c r="J129" s="17" t="str" cm="1">
        <f t="array" ref="J129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UPPER(TRIM(CLEAN(SUBSTITUTE(I129,CHAR(160),"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UPPER(TRIM(CLEAN(SUBSTITUTE(I129,CHAR(160)," ")))),
    "Á","A"),"É","E"),"Í","I"),"Ó","O"),"Ú","U"),"Ü","U"),"Ñ","N")
  ))&gt;0,
  "R",
  ""
 )
)</f>
        <v/>
      </c>
      <c r="K129" s="22"/>
      <c r="L129" s="22"/>
      <c r="M129" s="81"/>
    </row>
    <row r="130" spans="1:13" x14ac:dyDescent="0.25">
      <c r="A130" s="1"/>
      <c r="B130" s="4"/>
      <c r="C130" s="4"/>
      <c r="D130" s="4"/>
      <c r="E130" s="4"/>
      <c r="F130" s="105"/>
      <c r="G130" s="1">
        <f t="shared" si="10"/>
        <v>0</v>
      </c>
      <c r="H130" s="10" t="str" cm="1">
        <f t="array" ref="H130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UPPER(TRIM(CLEAN(SUBSTITUTE(G130,CHAR(160),"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UPPER(TRIM(CLEAN(SUBSTITUTE(G130,CHAR(160)," ")))),
    "Á","A"),"É","E"),"Í","I"),"Ó","O"),"Ú","U"),"Ü","U"),"Ñ","N")
  ))&gt;0,
  "R",
  ""
 )
)</f>
        <v/>
      </c>
      <c r="I130" s="1">
        <v>0</v>
      </c>
      <c r="J130" s="17" t="str" cm="1">
        <f t="array" ref="J130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UPPER(TRIM(CLEAN(SUBSTITUTE(I130,CHAR(160),"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UPPER(TRIM(CLEAN(SUBSTITUTE(I130,CHAR(160)," ")))),
    "Á","A"),"É","E"),"Í","I"),"Ó","O"),"Ú","U"),"Ü","U"),"Ñ","N")
  ))&gt;0,
  "R",
  ""
 )
)</f>
        <v/>
      </c>
      <c r="K130" s="22"/>
      <c r="L130" s="22"/>
      <c r="M130" s="81"/>
    </row>
    <row r="131" spans="1:13" x14ac:dyDescent="0.25">
      <c r="A131" s="1"/>
      <c r="B131" s="4"/>
      <c r="C131" s="4"/>
      <c r="D131" s="4"/>
      <c r="E131" s="4"/>
      <c r="F131" s="105"/>
      <c r="G131" s="1">
        <f t="shared" si="10"/>
        <v>0</v>
      </c>
      <c r="H131" s="10" t="str" cm="1">
        <f t="array" ref="H131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UPPER(TRIM(CLEAN(SUBSTITUTE(G131,CHAR(160),"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UPPER(TRIM(CLEAN(SUBSTITUTE(G131,CHAR(160)," ")))),
    "Á","A"),"É","E"),"Í","I"),"Ó","O"),"Ú","U"),"Ü","U"),"Ñ","N")
  ))&gt;0,
  "R",
  ""
 )
)</f>
        <v/>
      </c>
      <c r="I131" s="1">
        <v>0</v>
      </c>
      <c r="J131" s="17" t="str" cm="1">
        <f t="array" ref="J131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UPPER(TRIM(CLEAN(SUBSTITUTE(I131,CHAR(160),"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UPPER(TRIM(CLEAN(SUBSTITUTE(I131,CHAR(160)," ")))),
    "Á","A"),"É","E"),"Í","I"),"Ó","O"),"Ú","U"),"Ü","U"),"Ñ","N")
  ))&gt;0,
  "R",
  ""
 )
)</f>
        <v/>
      </c>
      <c r="K131" s="22"/>
      <c r="L131" s="22"/>
      <c r="M131" s="81"/>
    </row>
    <row r="132" spans="1:13" x14ac:dyDescent="0.25">
      <c r="A132" s="1"/>
      <c r="B132" s="4"/>
      <c r="C132" s="4"/>
      <c r="D132" s="4"/>
      <c r="E132" s="4"/>
      <c r="F132" s="105"/>
      <c r="G132" s="1">
        <f t="shared" si="10"/>
        <v>0</v>
      </c>
      <c r="H132" s="10" t="str" cm="1">
        <f t="array" ref="H132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UPPER(TRIM(CLEAN(SUBSTITUTE(G132,CHAR(160),"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UPPER(TRIM(CLEAN(SUBSTITUTE(G132,CHAR(160)," ")))),
    "Á","A"),"É","E"),"Í","I"),"Ó","O"),"Ú","U"),"Ü","U"),"Ñ","N")
  ))&gt;0,
  "R",
  ""
 )
)</f>
        <v/>
      </c>
      <c r="I132" s="1">
        <v>0</v>
      </c>
      <c r="J132" s="17" t="str" cm="1">
        <f t="array" ref="J132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UPPER(TRIM(CLEAN(SUBSTITUTE(I132,CHAR(160),"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UPPER(TRIM(CLEAN(SUBSTITUTE(I132,CHAR(160)," ")))),
    "Á","A"),"É","E"),"Í","I"),"Ó","O"),"Ú","U"),"Ü","U"),"Ñ","N")
  ))&gt;0,
  "R",
  ""
 )
)</f>
        <v/>
      </c>
      <c r="K132" s="22"/>
      <c r="L132" s="22"/>
      <c r="M132" s="81"/>
    </row>
    <row r="133" spans="1:13" x14ac:dyDescent="0.25">
      <c r="A133" s="1"/>
      <c r="B133" s="4"/>
      <c r="C133" s="4"/>
      <c r="D133" s="4"/>
      <c r="E133" s="4"/>
      <c r="F133" s="105"/>
      <c r="G133" s="1">
        <f t="shared" si="10"/>
        <v>0</v>
      </c>
      <c r="H133" s="10" t="str" cm="1">
        <f t="array" ref="H133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UPPER(TRIM(CLEAN(SUBSTITUTE(G133,CHAR(160),"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UPPER(TRIM(CLEAN(SUBSTITUTE(G133,CHAR(160)," ")))),
    "Á","A"),"É","E"),"Í","I"),"Ó","O"),"Ú","U"),"Ü","U"),"Ñ","N")
  ))&gt;0,
  "R",
  ""
 )
)</f>
        <v/>
      </c>
      <c r="I133" s="1">
        <v>0</v>
      </c>
      <c r="J133" s="17" t="str" cm="1">
        <f t="array" ref="J133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UPPER(TRIM(CLEAN(SUBSTITUTE(I133,CHAR(160),"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UPPER(TRIM(CLEAN(SUBSTITUTE(I133,CHAR(160)," ")))),
    "Á","A"),"É","E"),"Í","I"),"Ó","O"),"Ú","U"),"Ü","U"),"Ñ","N")
  ))&gt;0,
  "R",
  ""
 )
)</f>
        <v/>
      </c>
      <c r="K133" s="22"/>
      <c r="L133" s="22"/>
      <c r="M133" s="81"/>
    </row>
    <row r="134" spans="1:13" x14ac:dyDescent="0.25">
      <c r="A134" s="1"/>
      <c r="B134" s="4"/>
      <c r="C134" s="4"/>
      <c r="D134" s="4"/>
      <c r="E134" s="4"/>
      <c r="F134" s="105"/>
      <c r="G134" s="1">
        <f t="shared" si="10"/>
        <v>0</v>
      </c>
      <c r="H134" s="10" t="str" cm="1">
        <f t="array" ref="H134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UPPER(TRIM(CLEAN(SUBSTITUTE(G134,CHAR(160),"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UPPER(TRIM(CLEAN(SUBSTITUTE(G134,CHAR(160)," ")))),
    "Á","A"),"É","E"),"Í","I"),"Ó","O"),"Ú","U"),"Ü","U"),"Ñ","N")
  ))&gt;0,
  "R",
  ""
 )
)</f>
        <v/>
      </c>
      <c r="I134" s="1">
        <v>0</v>
      </c>
      <c r="J134" s="17" t="str" cm="1">
        <f t="array" ref="J134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UPPER(TRIM(CLEAN(SUBSTITUTE(I134,CHAR(160),"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UPPER(TRIM(CLEAN(SUBSTITUTE(I134,CHAR(160)," ")))),
    "Á","A"),"É","E"),"Í","I"),"Ó","O"),"Ú","U"),"Ü","U"),"Ñ","N")
  ))&gt;0,
  "R",
  ""
 )
)</f>
        <v/>
      </c>
      <c r="K134" s="22"/>
      <c r="L134" s="22"/>
      <c r="M134" s="81"/>
    </row>
    <row r="135" spans="1:13" x14ac:dyDescent="0.25">
      <c r="A135" s="1"/>
      <c r="B135" s="4"/>
      <c r="C135" s="4"/>
      <c r="D135" s="4"/>
      <c r="E135" s="4"/>
      <c r="F135" s="105"/>
      <c r="G135" s="1">
        <f t="shared" si="10"/>
        <v>0</v>
      </c>
      <c r="H135" s="10" t="str" cm="1">
        <f t="array" ref="H135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UPPER(TRIM(CLEAN(SUBSTITUTE(G135,CHAR(160),"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UPPER(TRIM(CLEAN(SUBSTITUTE(G135,CHAR(160)," ")))),
    "Á","A"),"É","E"),"Í","I"),"Ó","O"),"Ú","U"),"Ü","U"),"Ñ","N")
  ))&gt;0,
  "R",
  ""
 )
)</f>
        <v/>
      </c>
      <c r="I135" s="1">
        <v>0</v>
      </c>
      <c r="J135" s="17" t="str" cm="1">
        <f t="array" ref="J135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UPPER(TRIM(CLEAN(SUBSTITUTE(I135,CHAR(160),"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UPPER(TRIM(CLEAN(SUBSTITUTE(I135,CHAR(160)," ")))),
    "Á","A"),"É","E"),"Í","I"),"Ó","O"),"Ú","U"),"Ü","U"),"Ñ","N")
  ))&gt;0,
  "R",
  ""
 )
)</f>
        <v/>
      </c>
      <c r="K135" s="22"/>
      <c r="L135" s="22"/>
      <c r="M135" s="81"/>
    </row>
    <row r="136" spans="1:13" x14ac:dyDescent="0.25">
      <c r="A136" s="1"/>
      <c r="B136" s="4"/>
      <c r="C136" s="4"/>
      <c r="D136" s="4"/>
      <c r="E136" s="4"/>
      <c r="F136" s="105"/>
      <c r="G136" s="1">
        <f t="shared" si="10"/>
        <v>0</v>
      </c>
      <c r="H136" s="10" t="str" cm="1">
        <f t="array" ref="H136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UPPER(TRIM(CLEAN(SUBSTITUTE(G136,CHAR(160),"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UPPER(TRIM(CLEAN(SUBSTITUTE(G136,CHAR(160)," ")))),
    "Á","A"),"É","E"),"Í","I"),"Ó","O"),"Ú","U"),"Ü","U"),"Ñ","N")
  ))&gt;0,
  "R",
  ""
 )
)</f>
        <v/>
      </c>
      <c r="I136" s="1">
        <v>0</v>
      </c>
      <c r="J136" s="17" t="str" cm="1">
        <f t="array" ref="J136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UPPER(TRIM(CLEAN(SUBSTITUTE(I136,CHAR(160),"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UPPER(TRIM(CLEAN(SUBSTITUTE(I136,CHAR(160)," ")))),
    "Á","A"),"É","E"),"Í","I"),"Ó","O"),"Ú","U"),"Ü","U"),"Ñ","N")
  ))&gt;0,
  "R",
  ""
 )
)</f>
        <v/>
      </c>
      <c r="K136" s="22"/>
      <c r="L136" s="22"/>
      <c r="M136" s="81"/>
    </row>
    <row r="137" spans="1:13" x14ac:dyDescent="0.25">
      <c r="A137" s="1"/>
      <c r="B137" s="4"/>
      <c r="C137" s="4"/>
      <c r="D137" s="4"/>
      <c r="E137" s="4"/>
      <c r="F137" s="105"/>
      <c r="G137" s="1">
        <f t="shared" si="10"/>
        <v>0</v>
      </c>
      <c r="H137" s="10" t="str" cm="1">
        <f t="array" ref="H137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UPPER(TRIM(CLEAN(SUBSTITUTE(G137,CHAR(160),"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UPPER(TRIM(CLEAN(SUBSTITUTE(G137,CHAR(160)," ")))),
    "Á","A"),"É","E"),"Í","I"),"Ó","O"),"Ú","U"),"Ü","U"),"Ñ","N")
  ))&gt;0,
  "R",
  ""
 )
)</f>
        <v/>
      </c>
      <c r="I137" s="1">
        <v>0</v>
      </c>
      <c r="J137" s="17" t="str" cm="1">
        <f t="array" ref="J137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UPPER(TRIM(CLEAN(SUBSTITUTE(I137,CHAR(160),"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UPPER(TRIM(CLEAN(SUBSTITUTE(I137,CHAR(160)," ")))),
    "Á","A"),"É","E"),"Í","I"),"Ó","O"),"Ú","U"),"Ü","U"),"Ñ","N")
  ))&gt;0,
  "R",
  ""
 )
)</f>
        <v/>
      </c>
      <c r="K137" s="22"/>
      <c r="L137" s="22"/>
      <c r="M137" s="81"/>
    </row>
    <row r="138" spans="1:13" x14ac:dyDescent="0.25">
      <c r="A138" s="1"/>
      <c r="B138" s="4"/>
      <c r="C138" s="4"/>
      <c r="D138" s="4"/>
      <c r="E138" s="4"/>
      <c r="F138" s="105"/>
      <c r="G138" s="1">
        <f t="shared" si="10"/>
        <v>0</v>
      </c>
      <c r="H138" s="10" t="str" cm="1">
        <f t="array" ref="H138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UPPER(TRIM(CLEAN(SUBSTITUTE(G138,CHAR(160),"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UPPER(TRIM(CLEAN(SUBSTITUTE(G138,CHAR(160)," ")))),
    "Á","A"),"É","E"),"Í","I"),"Ó","O"),"Ú","U"),"Ü","U"),"Ñ","N")
  ))&gt;0,
  "R",
  ""
 )
)</f>
        <v/>
      </c>
      <c r="I138" s="1">
        <v>0</v>
      </c>
      <c r="J138" s="17" t="str" cm="1">
        <f t="array" ref="J138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UPPER(TRIM(CLEAN(SUBSTITUTE(I138,CHAR(160),"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UPPER(TRIM(CLEAN(SUBSTITUTE(I138,CHAR(160)," ")))),
    "Á","A"),"É","E"),"Í","I"),"Ó","O"),"Ú","U"),"Ü","U"),"Ñ","N")
  ))&gt;0,
  "R",
  ""
 )
)</f>
        <v/>
      </c>
      <c r="K138" s="22"/>
      <c r="L138" s="22"/>
      <c r="M138" s="81"/>
    </row>
    <row r="139" spans="1:13" x14ac:dyDescent="0.25">
      <c r="A139" s="1"/>
      <c r="B139" s="4"/>
      <c r="C139" s="4"/>
      <c r="D139" s="4"/>
      <c r="E139" s="4"/>
      <c r="F139" s="105"/>
      <c r="G139" s="1">
        <f t="shared" si="10"/>
        <v>0</v>
      </c>
      <c r="H139" s="10" t="str" cm="1">
        <f t="array" ref="H139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UPPER(TRIM(CLEAN(SUBSTITUTE(G139,CHAR(160),"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UPPER(TRIM(CLEAN(SUBSTITUTE(G139,CHAR(160)," ")))),
    "Á","A"),"É","E"),"Í","I"),"Ó","O"),"Ú","U"),"Ü","U"),"Ñ","N")
  ))&gt;0,
  "R",
  ""
 )
)</f>
        <v/>
      </c>
      <c r="I139" s="1">
        <v>0</v>
      </c>
      <c r="J139" s="17" t="str" cm="1">
        <f t="array" ref="J139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UPPER(TRIM(CLEAN(SUBSTITUTE(I139,CHAR(160),"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UPPER(TRIM(CLEAN(SUBSTITUTE(I139,CHAR(160)," ")))),
    "Á","A"),"É","E"),"Í","I"),"Ó","O"),"Ú","U"),"Ü","U"),"Ñ","N")
  ))&gt;0,
  "R",
  ""
 )
)</f>
        <v/>
      </c>
      <c r="K139" s="22"/>
      <c r="L139" s="25"/>
      <c r="M139" s="81"/>
    </row>
    <row r="140" spans="1:13" x14ac:dyDescent="0.25">
      <c r="A140" s="1"/>
      <c r="B140" s="4"/>
      <c r="C140" s="4"/>
      <c r="D140" s="4"/>
      <c r="E140" s="4"/>
      <c r="F140" s="105"/>
      <c r="G140" s="1">
        <f t="shared" si="10"/>
        <v>0</v>
      </c>
      <c r="H140" s="10" t="str" cm="1">
        <f t="array" ref="H140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UPPER(TRIM(CLEAN(SUBSTITUTE(G140,CHAR(160),"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UPPER(TRIM(CLEAN(SUBSTITUTE(G140,CHAR(160)," ")))),
    "Á","A"),"É","E"),"Í","I"),"Ó","O"),"Ú","U"),"Ü","U"),"Ñ","N")
  ))&gt;0,
  "R",
  ""
 )
)</f>
        <v/>
      </c>
      <c r="I140" s="1">
        <v>0</v>
      </c>
      <c r="J140" s="17" t="str" cm="1">
        <f t="array" ref="J140">IF(
 SUMPRODUCT(--(
  SUBSTITUTE(SUBSTITUTE(SUBSTITUTE(SUBSTITUTE(SUBSTITUTE(SUBSTITUTE(SUBSTITUTE(
   UPPER(TRIM(CLEAN(SUBSTITUTE(Hoja2!A$3:A$89,CHAR(160)," ")))),
   "Á","A"),"É","E"),"Í","I"),"Ó","O"),"Ú","U"),"Ü","U"),"Ñ","N")
  =
  SUBSTITUTE(SUBSTITUTE(SUBSTITUTE(SUBSTITUTE(SUBSTITUTE(SUBSTITUTE(SUBSTITUTE(
   UPPER(TRIM(CLEAN(SUBSTITUTE(I140,CHAR(160)," ")))),
   "Á","A"),"É","E"),"Í","I"),"Ó","O"),"Ú","U"),"Ü","U"),"Ñ","N")
 ))&gt;0,
 "D",
 IF(
  SUMPRODUCT(--(
   SUBSTITUTE(SUBSTITUTE(SUBSTITUTE(SUBSTITUTE(SUBSTITUTE(SUBSTITUTE(SUBSTITUTE(
    UPPER(TRIM(CLEAN(SUBSTITUTE(Hoja2!A$92:A$154,CHAR(160)," ")))),
    "Á","A"),"É","E"),"Í","I"),"Ó","O"),"Ú","U"),"Ü","U"),"Ñ","N")
   =
   SUBSTITUTE(SUBSTITUTE(SUBSTITUTE(SUBSTITUTE(SUBSTITUTE(SUBSTITUTE(SUBSTITUTE(
    UPPER(TRIM(CLEAN(SUBSTITUTE(I140,CHAR(160)," ")))),
    "Á","A"),"É","E"),"Í","I"),"Ó","O"),"Ú","U"),"Ü","U"),"Ñ","N")
  ))&gt;0,
  "R",
  ""
 )
)</f>
        <v/>
      </c>
      <c r="K140" s="22"/>
      <c r="L140" s="22"/>
      <c r="M140" s="15" t="s">
        <v>6</v>
      </c>
    </row>
    <row r="141" spans="1:13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4">
        <f>COUNTIF(K124:K140, "*")</f>
        <v>0</v>
      </c>
      <c r="L141" s="24">
        <f>COUNTIF(L124:L140, "*")</f>
        <v>0</v>
      </c>
      <c r="M141" s="1">
        <f>SUM(K141:L141)</f>
        <v>0</v>
      </c>
    </row>
    <row r="144" spans="1:13" x14ac:dyDescent="0.25">
      <c r="A144" s="79" t="s">
        <v>180</v>
      </c>
      <c r="B144" s="79"/>
      <c r="C144" s="79"/>
    </row>
    <row r="145" spans="1:3" x14ac:dyDescent="0.25">
      <c r="A145" s="6" t="s">
        <v>181</v>
      </c>
      <c r="B145" s="84" t="s">
        <v>182</v>
      </c>
      <c r="C145" s="84"/>
    </row>
    <row r="146" spans="1:3" x14ac:dyDescent="0.25">
      <c r="A146" s="26" t="s">
        <v>183</v>
      </c>
      <c r="B146" s="26" t="s">
        <v>184</v>
      </c>
      <c r="C146" s="26" t="s">
        <v>185</v>
      </c>
    </row>
    <row r="147" spans="1:3" x14ac:dyDescent="0.25">
      <c r="A147" s="1">
        <f>M141</f>
        <v>0</v>
      </c>
      <c r="B147" s="4"/>
      <c r="C147" s="4"/>
    </row>
    <row r="149" spans="1:3" x14ac:dyDescent="0.25">
      <c r="A149" s="82" t="s">
        <v>186</v>
      </c>
      <c r="B149" s="83"/>
      <c r="C149" s="6" t="s">
        <v>187</v>
      </c>
    </row>
    <row r="150" spans="1:3" x14ac:dyDescent="0.25">
      <c r="A150" s="1">
        <v>1</v>
      </c>
      <c r="B150" s="4"/>
      <c r="C150" s="40"/>
    </row>
    <row r="151" spans="1:3" x14ac:dyDescent="0.25">
      <c r="A151" s="1">
        <v>2</v>
      </c>
      <c r="B151" s="4"/>
      <c r="C151" s="40"/>
    </row>
    <row r="152" spans="1:3" x14ac:dyDescent="0.25">
      <c r="A152" s="1">
        <v>3</v>
      </c>
      <c r="B152" s="4"/>
      <c r="C152" s="40"/>
    </row>
    <row r="153" spans="1:3" x14ac:dyDescent="0.25">
      <c r="A153" s="1">
        <v>4</v>
      </c>
      <c r="B153" s="4"/>
      <c r="C153" s="40"/>
    </row>
    <row r="154" spans="1:3" x14ac:dyDescent="0.25">
      <c r="A154" s="1">
        <v>5</v>
      </c>
      <c r="B154" s="4"/>
      <c r="C154" s="40"/>
    </row>
    <row r="155" spans="1:3" x14ac:dyDescent="0.25">
      <c r="A155" s="1">
        <v>6</v>
      </c>
      <c r="B155" s="4"/>
      <c r="C155" s="40"/>
    </row>
    <row r="156" spans="1:3" x14ac:dyDescent="0.25">
      <c r="A156" s="1">
        <v>7</v>
      </c>
      <c r="B156" s="4"/>
      <c r="C156" s="40"/>
    </row>
    <row r="157" spans="1:3" x14ac:dyDescent="0.25">
      <c r="A157" s="1">
        <v>8</v>
      </c>
      <c r="B157" s="4"/>
      <c r="C157" s="40"/>
    </row>
    <row r="158" spans="1:3" x14ac:dyDescent="0.25">
      <c r="A158" s="1">
        <v>9</v>
      </c>
      <c r="B158" s="4"/>
      <c r="C158" s="40"/>
    </row>
    <row r="159" spans="1:3" x14ac:dyDescent="0.25">
      <c r="A159" s="1">
        <v>10</v>
      </c>
      <c r="B159" s="4"/>
      <c r="C159" s="40"/>
    </row>
    <row r="162" spans="1:1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</row>
    <row r="163" spans="1:11" x14ac:dyDescent="0.25">
      <c r="A163" s="108" t="s">
        <v>188</v>
      </c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</row>
    <row r="164" spans="1:11" x14ac:dyDescent="0.25">
      <c r="A164" s="82" t="s">
        <v>189</v>
      </c>
      <c r="B164" s="94"/>
      <c r="C164" s="83"/>
    </row>
    <row r="165" spans="1:11" x14ac:dyDescent="0.25">
      <c r="A165" s="1"/>
      <c r="B165" s="4"/>
      <c r="C165" s="11" t="e">
        <f>(B165/$B$178)*1</f>
        <v>#DIV/0!</v>
      </c>
    </row>
    <row r="166" spans="1:11" x14ac:dyDescent="0.25">
      <c r="A166" s="1"/>
      <c r="B166" s="4"/>
      <c r="C166" s="11" t="e">
        <f t="shared" ref="C166:C177" si="11">(B166/$B$178)*1</f>
        <v>#DIV/0!</v>
      </c>
    </row>
    <row r="167" spans="1:11" x14ac:dyDescent="0.25">
      <c r="A167" s="1"/>
      <c r="B167" s="4"/>
      <c r="C167" s="11" t="e">
        <f t="shared" si="11"/>
        <v>#DIV/0!</v>
      </c>
    </row>
    <row r="168" spans="1:11" x14ac:dyDescent="0.25">
      <c r="A168" s="1"/>
      <c r="B168" s="4"/>
      <c r="C168" s="11" t="e">
        <f t="shared" si="11"/>
        <v>#DIV/0!</v>
      </c>
    </row>
    <row r="169" spans="1:11" x14ac:dyDescent="0.25">
      <c r="A169" s="1"/>
      <c r="B169" s="4"/>
      <c r="C169" s="11" t="e">
        <f t="shared" si="11"/>
        <v>#DIV/0!</v>
      </c>
    </row>
    <row r="170" spans="1:11" x14ac:dyDescent="0.25">
      <c r="A170" s="1"/>
      <c r="B170" s="4"/>
      <c r="C170" s="11" t="e">
        <f t="shared" si="11"/>
        <v>#DIV/0!</v>
      </c>
    </row>
    <row r="171" spans="1:11" x14ac:dyDescent="0.25">
      <c r="A171" s="1"/>
      <c r="B171" s="4"/>
      <c r="C171" s="11" t="e">
        <f t="shared" si="11"/>
        <v>#DIV/0!</v>
      </c>
    </row>
    <row r="172" spans="1:11" x14ac:dyDescent="0.25">
      <c r="A172" s="1"/>
      <c r="B172" s="4"/>
      <c r="C172" s="11" t="e">
        <f t="shared" si="11"/>
        <v>#DIV/0!</v>
      </c>
    </row>
    <row r="173" spans="1:11" x14ac:dyDescent="0.25">
      <c r="A173" s="1"/>
      <c r="B173" s="4"/>
      <c r="C173" s="11" t="e">
        <f t="shared" si="11"/>
        <v>#DIV/0!</v>
      </c>
    </row>
    <row r="174" spans="1:11" x14ac:dyDescent="0.25">
      <c r="A174" s="1"/>
      <c r="B174" s="4"/>
      <c r="C174" s="11" t="e">
        <f t="shared" si="11"/>
        <v>#DIV/0!</v>
      </c>
    </row>
    <row r="175" spans="1:11" x14ac:dyDescent="0.25">
      <c r="A175" s="1"/>
      <c r="B175" s="4"/>
      <c r="C175" s="11" t="e">
        <f t="shared" si="11"/>
        <v>#DIV/0!</v>
      </c>
    </row>
    <row r="176" spans="1:11" x14ac:dyDescent="0.25">
      <c r="A176" s="1"/>
      <c r="B176" s="4"/>
      <c r="C176" s="11" t="e">
        <f t="shared" si="11"/>
        <v>#DIV/0!</v>
      </c>
    </row>
    <row r="177" spans="1:17" x14ac:dyDescent="0.25">
      <c r="A177" s="1"/>
      <c r="B177" s="4"/>
      <c r="C177" s="11" t="e">
        <f t="shared" si="11"/>
        <v>#DIV/0!</v>
      </c>
    </row>
    <row r="178" spans="1:17" x14ac:dyDescent="0.25">
      <c r="A178" s="58" t="s">
        <v>6</v>
      </c>
      <c r="B178" s="1">
        <f>SUM(B165:B177)</f>
        <v>0</v>
      </c>
      <c r="C178" s="58"/>
      <c r="F178" s="91" t="s">
        <v>217</v>
      </c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</row>
    <row r="179" spans="1:17" x14ac:dyDescent="0.25">
      <c r="A179" s="43" t="s">
        <v>307</v>
      </c>
      <c r="B179" s="44" t="s">
        <v>306</v>
      </c>
      <c r="C179" s="45" t="s">
        <v>5</v>
      </c>
      <c r="D179" s="6" t="s">
        <v>199</v>
      </c>
      <c r="E179" s="6" t="s">
        <v>200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x14ac:dyDescent="0.25">
      <c r="A180" s="1" t="s">
        <v>190</v>
      </c>
      <c r="B180" s="4">
        <f>SUM(F180:Q180)</f>
        <v>0</v>
      </c>
      <c r="C180" s="11" t="e">
        <f>(B180/$B$189)*1</f>
        <v>#DIV/0!</v>
      </c>
      <c r="D180" s="11" t="e">
        <f>(SUM(B180:B183)/B190)*1</f>
        <v>#DIV/0!</v>
      </c>
      <c r="E180" s="11" t="e">
        <f>(SUM(B184:B187)/B190)*1</f>
        <v>#DIV/0!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x14ac:dyDescent="0.25">
      <c r="A181" s="1" t="s">
        <v>191</v>
      </c>
      <c r="B181" s="4">
        <f t="shared" ref="B181:B188" si="12">SUM(F181:Q181)</f>
        <v>0</v>
      </c>
      <c r="C181" s="11" t="e">
        <f t="shared" ref="C181:C188" si="13">(B181/$B$189)*1</f>
        <v>#DIV/0!</v>
      </c>
      <c r="D181" s="48">
        <f>SUM(B180:B183)</f>
        <v>0</v>
      </c>
      <c r="E181" s="48">
        <f>SUM(B184:B187)</f>
        <v>0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x14ac:dyDescent="0.25">
      <c r="A182" s="1" t="s">
        <v>192</v>
      </c>
      <c r="B182" s="4">
        <f t="shared" si="12"/>
        <v>0</v>
      </c>
      <c r="C182" s="11" t="e">
        <f t="shared" si="13"/>
        <v>#DIV/0!</v>
      </c>
      <c r="D182" s="27"/>
      <c r="E182" s="2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x14ac:dyDescent="0.25">
      <c r="A183" s="1" t="s">
        <v>193</v>
      </c>
      <c r="B183" s="4">
        <f t="shared" si="12"/>
        <v>0</v>
      </c>
      <c r="C183" s="11" t="e">
        <f t="shared" si="13"/>
        <v>#DIV/0!</v>
      </c>
      <c r="D183" s="27"/>
      <c r="E183" s="2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x14ac:dyDescent="0.25">
      <c r="A184" s="1" t="s">
        <v>194</v>
      </c>
      <c r="B184" s="4">
        <f t="shared" si="12"/>
        <v>0</v>
      </c>
      <c r="C184" s="11" t="e">
        <f t="shared" si="13"/>
        <v>#DIV/0!</v>
      </c>
      <c r="D184" s="27"/>
      <c r="E184" s="2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x14ac:dyDescent="0.25">
      <c r="A185" s="1" t="s">
        <v>195</v>
      </c>
      <c r="B185" s="4">
        <f t="shared" si="12"/>
        <v>0</v>
      </c>
      <c r="C185" s="11" t="e">
        <f t="shared" si="13"/>
        <v>#DIV/0!</v>
      </c>
      <c r="D185" s="27"/>
      <c r="E185" s="2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x14ac:dyDescent="0.25">
      <c r="A186" s="1" t="s">
        <v>196</v>
      </c>
      <c r="B186" s="4">
        <f t="shared" si="12"/>
        <v>0</v>
      </c>
      <c r="C186" s="11" t="e">
        <f t="shared" si="13"/>
        <v>#DIV/0!</v>
      </c>
      <c r="D186" s="27"/>
      <c r="E186" s="2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x14ac:dyDescent="0.25">
      <c r="A187" s="1" t="s">
        <v>197</v>
      </c>
      <c r="B187" s="4">
        <f t="shared" si="12"/>
        <v>0</v>
      </c>
      <c r="C187" s="11" t="e">
        <f t="shared" si="13"/>
        <v>#DIV/0!</v>
      </c>
      <c r="D187" s="27"/>
      <c r="E187" s="2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x14ac:dyDescent="0.25">
      <c r="A188" s="1" t="s">
        <v>198</v>
      </c>
      <c r="B188" s="4">
        <f t="shared" si="12"/>
        <v>0</v>
      </c>
      <c r="C188" s="11" t="e">
        <f t="shared" si="13"/>
        <v>#DIV/0!</v>
      </c>
      <c r="D188" s="27"/>
      <c r="E188" s="2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x14ac:dyDescent="0.25">
      <c r="A189" s="1"/>
      <c r="B189" s="1">
        <f>SUM(B180:B188)</f>
        <v>0</v>
      </c>
      <c r="C189" s="11" t="e">
        <f>SUM(C180:C188)</f>
        <v>#DIV/0!</v>
      </c>
      <c r="D189" s="27"/>
      <c r="E189" s="27"/>
      <c r="F189" s="1">
        <f t="shared" ref="F189:Q189" si="14">SUM(F180:F188)</f>
        <v>0</v>
      </c>
      <c r="G189" s="1">
        <f t="shared" si="14"/>
        <v>0</v>
      </c>
      <c r="H189" s="1">
        <f t="shared" si="14"/>
        <v>0</v>
      </c>
      <c r="I189" s="1">
        <f t="shared" si="14"/>
        <v>0</v>
      </c>
      <c r="J189" s="1">
        <f t="shared" si="14"/>
        <v>0</v>
      </c>
      <c r="K189" s="1">
        <f t="shared" si="14"/>
        <v>0</v>
      </c>
      <c r="L189" s="1">
        <f t="shared" si="14"/>
        <v>0</v>
      </c>
      <c r="M189" s="1">
        <f t="shared" si="14"/>
        <v>0</v>
      </c>
      <c r="N189" s="1">
        <f t="shared" si="14"/>
        <v>0</v>
      </c>
      <c r="O189" s="1">
        <f t="shared" si="14"/>
        <v>0</v>
      </c>
      <c r="P189" s="1">
        <f t="shared" si="14"/>
        <v>0</v>
      </c>
      <c r="Q189" s="1">
        <f t="shared" si="14"/>
        <v>0</v>
      </c>
    </row>
    <row r="190" spans="1:17" x14ac:dyDescent="0.25">
      <c r="A190" s="42" t="s">
        <v>305</v>
      </c>
      <c r="B190" s="18">
        <f>SUM(B180:B187)</f>
        <v>0</v>
      </c>
      <c r="C190" s="28"/>
      <c r="D190" s="41"/>
      <c r="E190" s="41" t="s">
        <v>304</v>
      </c>
      <c r="F190" s="1">
        <f>SUM(F180:F187)</f>
        <v>0</v>
      </c>
      <c r="G190" s="1">
        <f t="shared" ref="G190:Q190" si="15">SUM(G180:G187)</f>
        <v>0</v>
      </c>
      <c r="H190" s="1">
        <f t="shared" si="15"/>
        <v>0</v>
      </c>
      <c r="I190" s="1">
        <f t="shared" si="15"/>
        <v>0</v>
      </c>
      <c r="J190" s="1">
        <f t="shared" si="15"/>
        <v>0</v>
      </c>
      <c r="K190" s="1">
        <f t="shared" si="15"/>
        <v>0</v>
      </c>
      <c r="L190" s="1">
        <f t="shared" si="15"/>
        <v>0</v>
      </c>
      <c r="M190" s="1">
        <f t="shared" si="15"/>
        <v>0</v>
      </c>
      <c r="N190" s="1">
        <f t="shared" si="15"/>
        <v>0</v>
      </c>
      <c r="O190" s="1">
        <f t="shared" si="15"/>
        <v>0</v>
      </c>
      <c r="P190" s="1">
        <f t="shared" si="15"/>
        <v>0</v>
      </c>
      <c r="Q190" s="1">
        <f t="shared" si="15"/>
        <v>0</v>
      </c>
    </row>
    <row r="191" spans="1:17" x14ac:dyDescent="0.25">
      <c r="E191" s="1" t="s">
        <v>199</v>
      </c>
      <c r="F191" s="11" t="e">
        <f t="shared" ref="F191:Q191" si="16">(SUM(F180:F183)/F190)*1</f>
        <v>#DIV/0!</v>
      </c>
      <c r="G191" s="11" t="e">
        <f t="shared" si="16"/>
        <v>#DIV/0!</v>
      </c>
      <c r="H191" s="11" t="e">
        <f t="shared" si="16"/>
        <v>#DIV/0!</v>
      </c>
      <c r="I191" s="11" t="e">
        <f t="shared" si="16"/>
        <v>#DIV/0!</v>
      </c>
      <c r="J191" s="11" t="e">
        <f t="shared" si="16"/>
        <v>#DIV/0!</v>
      </c>
      <c r="K191" s="11" t="e">
        <f t="shared" si="16"/>
        <v>#DIV/0!</v>
      </c>
      <c r="L191" s="11" t="e">
        <f t="shared" si="16"/>
        <v>#DIV/0!</v>
      </c>
      <c r="M191" s="11" t="e">
        <f t="shared" si="16"/>
        <v>#DIV/0!</v>
      </c>
      <c r="N191" s="11" t="e">
        <f t="shared" si="16"/>
        <v>#DIV/0!</v>
      </c>
      <c r="O191" s="11" t="e">
        <f t="shared" si="16"/>
        <v>#DIV/0!</v>
      </c>
      <c r="P191" s="11" t="e">
        <f t="shared" si="16"/>
        <v>#DIV/0!</v>
      </c>
      <c r="Q191" s="11" t="e">
        <f t="shared" si="16"/>
        <v>#DIV/0!</v>
      </c>
    </row>
    <row r="192" spans="1:17" x14ac:dyDescent="0.25">
      <c r="E192" s="1" t="s">
        <v>200</v>
      </c>
      <c r="F192" s="11" t="e">
        <f t="shared" ref="F192:Q192" si="17">(SUM(F184:F187)/F190)*1</f>
        <v>#DIV/0!</v>
      </c>
      <c r="G192" s="11" t="e">
        <f t="shared" si="17"/>
        <v>#DIV/0!</v>
      </c>
      <c r="H192" s="11" t="e">
        <f t="shared" si="17"/>
        <v>#DIV/0!</v>
      </c>
      <c r="I192" s="11" t="e">
        <f t="shared" si="17"/>
        <v>#DIV/0!</v>
      </c>
      <c r="J192" s="11" t="e">
        <f t="shared" si="17"/>
        <v>#DIV/0!</v>
      </c>
      <c r="K192" s="11" t="e">
        <f t="shared" si="17"/>
        <v>#DIV/0!</v>
      </c>
      <c r="L192" s="11" t="e">
        <f t="shared" si="17"/>
        <v>#DIV/0!</v>
      </c>
      <c r="M192" s="11" t="e">
        <f t="shared" si="17"/>
        <v>#DIV/0!</v>
      </c>
      <c r="N192" s="11" t="e">
        <f t="shared" si="17"/>
        <v>#DIV/0!</v>
      </c>
      <c r="O192" s="11" t="e">
        <f t="shared" si="17"/>
        <v>#DIV/0!</v>
      </c>
      <c r="P192" s="11" t="e">
        <f t="shared" si="17"/>
        <v>#DIV/0!</v>
      </c>
      <c r="Q192" s="11" t="e">
        <f t="shared" si="17"/>
        <v>#DIV/0!</v>
      </c>
    </row>
    <row r="193" spans="1:17" x14ac:dyDescent="0.25">
      <c r="E193" s="1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</row>
    <row r="195" spans="1:17" x14ac:dyDescent="0.25">
      <c r="A195" s="82" t="s">
        <v>201</v>
      </c>
      <c r="B195" s="94"/>
      <c r="C195" s="83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7" x14ac:dyDescent="0.25">
      <c r="A196" s="1" t="s">
        <v>202</v>
      </c>
      <c r="B196" s="49">
        <f>SUM(D196:O196)</f>
        <v>0</v>
      </c>
      <c r="C196" s="11" t="e">
        <f>(B196/$B$205)*1</f>
        <v>#DIV/0!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7" x14ac:dyDescent="0.25">
      <c r="A197" s="1" t="s">
        <v>203</v>
      </c>
      <c r="B197" s="49">
        <f t="shared" ref="B197:B204" si="18">SUM(D197:O197)</f>
        <v>0</v>
      </c>
      <c r="C197" s="11" t="e">
        <f t="shared" ref="C197:C204" si="19">(B197/$B$205)*1</f>
        <v>#DIV/0!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7" x14ac:dyDescent="0.25">
      <c r="A198" s="1" t="s">
        <v>45</v>
      </c>
      <c r="B198" s="49">
        <f t="shared" si="18"/>
        <v>0</v>
      </c>
      <c r="C198" s="11" t="e">
        <f t="shared" si="19"/>
        <v>#DIV/0!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7" x14ac:dyDescent="0.25">
      <c r="A199" s="1" t="s">
        <v>204</v>
      </c>
      <c r="B199" s="49">
        <f t="shared" si="18"/>
        <v>0</v>
      </c>
      <c r="C199" s="11" t="e">
        <f t="shared" si="19"/>
        <v>#DIV/0!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7" x14ac:dyDescent="0.25">
      <c r="A200" s="1" t="s">
        <v>205</v>
      </c>
      <c r="B200" s="49">
        <f t="shared" si="18"/>
        <v>0</v>
      </c>
      <c r="C200" s="11" t="e">
        <f t="shared" si="19"/>
        <v>#DIV/0!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7" x14ac:dyDescent="0.25">
      <c r="A201" s="1" t="s">
        <v>54</v>
      </c>
      <c r="B201" s="49">
        <f t="shared" si="18"/>
        <v>0</v>
      </c>
      <c r="C201" s="11" t="e">
        <f t="shared" si="19"/>
        <v>#DIV/0!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7" x14ac:dyDescent="0.25">
      <c r="A202" s="1" t="s">
        <v>206</v>
      </c>
      <c r="B202" s="49">
        <f t="shared" si="18"/>
        <v>0</v>
      </c>
      <c r="C202" s="11" t="e">
        <f t="shared" si="19"/>
        <v>#DIV/0!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7" x14ac:dyDescent="0.25">
      <c r="A203" s="1" t="s">
        <v>207</v>
      </c>
      <c r="B203" s="49">
        <f t="shared" si="18"/>
        <v>0</v>
      </c>
      <c r="C203" s="11" t="e">
        <f t="shared" si="19"/>
        <v>#DIV/0!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7" x14ac:dyDescent="0.25">
      <c r="A204" s="1" t="s">
        <v>208</v>
      </c>
      <c r="B204" s="49">
        <f t="shared" si="18"/>
        <v>0</v>
      </c>
      <c r="C204" s="11" t="e">
        <f t="shared" si="19"/>
        <v>#DIV/0!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7" x14ac:dyDescent="0.25">
      <c r="A205" s="1"/>
      <c r="B205" s="1">
        <f>SUM(B196:B204)</f>
        <v>0</v>
      </c>
      <c r="C205" s="11" t="e">
        <f>SUM(C196:C204)</f>
        <v>#DIV/0!</v>
      </c>
      <c r="D205" s="11">
        <f>SUM(D196:D204)</f>
        <v>0</v>
      </c>
      <c r="E205" s="11">
        <f t="shared" ref="E205:O205" si="20">SUM(E196:E204)</f>
        <v>0</v>
      </c>
      <c r="F205" s="11">
        <f t="shared" si="20"/>
        <v>0</v>
      </c>
      <c r="G205" s="11">
        <f t="shared" si="20"/>
        <v>0</v>
      </c>
      <c r="H205" s="11">
        <f t="shared" si="20"/>
        <v>0</v>
      </c>
      <c r="I205" s="11">
        <f t="shared" si="20"/>
        <v>0</v>
      </c>
      <c r="J205" s="11">
        <f t="shared" si="20"/>
        <v>0</v>
      </c>
      <c r="K205" s="11">
        <f t="shared" si="20"/>
        <v>0</v>
      </c>
      <c r="L205" s="11">
        <f t="shared" si="20"/>
        <v>0</v>
      </c>
      <c r="M205" s="11">
        <f t="shared" si="20"/>
        <v>0</v>
      </c>
      <c r="N205" s="11">
        <f t="shared" si="20"/>
        <v>0</v>
      </c>
      <c r="O205" s="11">
        <f t="shared" si="20"/>
        <v>0</v>
      </c>
    </row>
    <row r="207" spans="1:17" x14ac:dyDescent="0.25">
      <c r="A207" s="6"/>
      <c r="B207" s="6" t="s">
        <v>202</v>
      </c>
      <c r="C207" s="6" t="s">
        <v>308</v>
      </c>
      <c r="D207" s="6" t="s">
        <v>45</v>
      </c>
      <c r="E207" s="6" t="s">
        <v>204</v>
      </c>
      <c r="F207" s="6" t="s">
        <v>205</v>
      </c>
      <c r="G207" s="6" t="s">
        <v>309</v>
      </c>
      <c r="H207" s="6" t="s">
        <v>206</v>
      </c>
      <c r="I207" s="6" t="s">
        <v>207</v>
      </c>
      <c r="J207" s="6" t="s">
        <v>208</v>
      </c>
    </row>
    <row r="208" spans="1:17" x14ac:dyDescent="0.25">
      <c r="A208" s="6">
        <f>A165</f>
        <v>0</v>
      </c>
      <c r="B208" s="4">
        <f>D196</f>
        <v>0</v>
      </c>
      <c r="C208" s="4">
        <f>D197</f>
        <v>0</v>
      </c>
      <c r="D208" s="4">
        <f>D198</f>
        <v>0</v>
      </c>
      <c r="E208" s="4">
        <f>D199</f>
        <v>0</v>
      </c>
      <c r="F208" s="4">
        <f>D200</f>
        <v>0</v>
      </c>
      <c r="G208" s="4">
        <f>D201</f>
        <v>0</v>
      </c>
      <c r="H208" s="4">
        <f>D202</f>
        <v>0</v>
      </c>
      <c r="I208" s="4">
        <f>D203</f>
        <v>0</v>
      </c>
      <c r="J208" s="4">
        <f>D204</f>
        <v>0</v>
      </c>
    </row>
    <row r="209" spans="1:15" x14ac:dyDescent="0.25">
      <c r="A209" s="6">
        <f t="shared" ref="A209:A219" si="21">A166</f>
        <v>0</v>
      </c>
      <c r="B209" s="4">
        <f>E196</f>
        <v>0</v>
      </c>
      <c r="C209" s="4">
        <f>E197</f>
        <v>0</v>
      </c>
      <c r="D209" s="4">
        <f>E198</f>
        <v>0</v>
      </c>
      <c r="E209" s="4">
        <f>E199</f>
        <v>0</v>
      </c>
      <c r="F209" s="4">
        <f>E200</f>
        <v>0</v>
      </c>
      <c r="G209" s="4">
        <f>E201</f>
        <v>0</v>
      </c>
      <c r="H209" s="4">
        <f>E202</f>
        <v>0</v>
      </c>
      <c r="I209" s="4">
        <f>E203</f>
        <v>0</v>
      </c>
      <c r="J209" s="4">
        <f>E204</f>
        <v>0</v>
      </c>
    </row>
    <row r="210" spans="1:15" x14ac:dyDescent="0.25">
      <c r="A210" s="6">
        <f t="shared" si="21"/>
        <v>0</v>
      </c>
      <c r="B210" s="4">
        <f>F196</f>
        <v>0</v>
      </c>
      <c r="C210" s="4">
        <f>F197</f>
        <v>0</v>
      </c>
      <c r="D210" s="4">
        <f>F198</f>
        <v>0</v>
      </c>
      <c r="E210" s="4">
        <f>F199</f>
        <v>0</v>
      </c>
      <c r="F210" s="4">
        <f>F200</f>
        <v>0</v>
      </c>
      <c r="G210" s="4">
        <f>F201</f>
        <v>0</v>
      </c>
      <c r="H210" s="4">
        <f>F202</f>
        <v>0</v>
      </c>
      <c r="I210" s="4">
        <f>F203</f>
        <v>0</v>
      </c>
      <c r="J210" s="4">
        <f>F204</f>
        <v>0</v>
      </c>
    </row>
    <row r="211" spans="1:15" x14ac:dyDescent="0.25">
      <c r="A211" s="6">
        <f t="shared" si="21"/>
        <v>0</v>
      </c>
      <c r="B211" s="4">
        <f>G196</f>
        <v>0</v>
      </c>
      <c r="C211" s="4">
        <f>G197</f>
        <v>0</v>
      </c>
      <c r="D211" s="4">
        <f>G198</f>
        <v>0</v>
      </c>
      <c r="E211" s="4">
        <f>G199</f>
        <v>0</v>
      </c>
      <c r="F211" s="4">
        <f>G200</f>
        <v>0</v>
      </c>
      <c r="G211" s="4">
        <f>G201</f>
        <v>0</v>
      </c>
      <c r="H211" s="4">
        <f>G202</f>
        <v>0</v>
      </c>
      <c r="I211" s="4">
        <f>G203</f>
        <v>0</v>
      </c>
      <c r="J211" s="4">
        <f>G204</f>
        <v>0</v>
      </c>
    </row>
    <row r="212" spans="1:15" x14ac:dyDescent="0.25">
      <c r="A212" s="6">
        <f t="shared" si="21"/>
        <v>0</v>
      </c>
      <c r="B212" s="4">
        <f>H196</f>
        <v>0</v>
      </c>
      <c r="C212" s="4">
        <f>H197</f>
        <v>0</v>
      </c>
      <c r="D212" s="4">
        <f>H198</f>
        <v>0</v>
      </c>
      <c r="E212" s="4">
        <f>H199</f>
        <v>0</v>
      </c>
      <c r="F212" s="4">
        <f>H200</f>
        <v>0</v>
      </c>
      <c r="G212" s="4">
        <f>H201</f>
        <v>0</v>
      </c>
      <c r="H212" s="4">
        <f>H202</f>
        <v>0</v>
      </c>
      <c r="I212" s="4">
        <f>H203</f>
        <v>0</v>
      </c>
      <c r="J212" s="4">
        <f>H204</f>
        <v>0</v>
      </c>
    </row>
    <row r="213" spans="1:15" x14ac:dyDescent="0.25">
      <c r="A213" s="6">
        <f t="shared" si="21"/>
        <v>0</v>
      </c>
      <c r="B213" s="4">
        <f>I196</f>
        <v>0</v>
      </c>
      <c r="C213" s="4">
        <f>I197</f>
        <v>0</v>
      </c>
      <c r="D213" s="4">
        <f>I198</f>
        <v>0</v>
      </c>
      <c r="E213" s="4">
        <f>I199</f>
        <v>0</v>
      </c>
      <c r="F213" s="4">
        <f>I200</f>
        <v>0</v>
      </c>
      <c r="G213" s="4">
        <f>I201</f>
        <v>0</v>
      </c>
      <c r="H213" s="4">
        <f>I202</f>
        <v>0</v>
      </c>
      <c r="I213" s="4">
        <f>I203</f>
        <v>0</v>
      </c>
      <c r="J213" s="4">
        <f>I204</f>
        <v>0</v>
      </c>
    </row>
    <row r="214" spans="1:15" x14ac:dyDescent="0.25">
      <c r="A214" s="6">
        <f t="shared" si="21"/>
        <v>0</v>
      </c>
      <c r="B214" s="4">
        <f>J196</f>
        <v>0</v>
      </c>
      <c r="C214" s="4">
        <f>J197</f>
        <v>0</v>
      </c>
      <c r="D214" s="4">
        <f>J198</f>
        <v>0</v>
      </c>
      <c r="E214" s="4">
        <f>J199</f>
        <v>0</v>
      </c>
      <c r="F214" s="4">
        <f>J200</f>
        <v>0</v>
      </c>
      <c r="G214" s="4">
        <f>J201</f>
        <v>0</v>
      </c>
      <c r="H214" s="4">
        <f>J202</f>
        <v>0</v>
      </c>
      <c r="I214" s="4">
        <f>J203</f>
        <v>0</v>
      </c>
      <c r="J214" s="4">
        <f>J204</f>
        <v>0</v>
      </c>
    </row>
    <row r="215" spans="1:15" x14ac:dyDescent="0.25">
      <c r="A215" s="6">
        <f t="shared" si="21"/>
        <v>0</v>
      </c>
      <c r="B215" s="4">
        <f>K196</f>
        <v>0</v>
      </c>
      <c r="C215" s="4">
        <f>K197</f>
        <v>0</v>
      </c>
      <c r="D215" s="4">
        <f>K198</f>
        <v>0</v>
      </c>
      <c r="E215" s="4">
        <f>K199</f>
        <v>0</v>
      </c>
      <c r="F215" s="4">
        <f>K200</f>
        <v>0</v>
      </c>
      <c r="G215" s="4">
        <f>K201</f>
        <v>0</v>
      </c>
      <c r="H215" s="4">
        <f>K202</f>
        <v>0</v>
      </c>
      <c r="I215" s="4">
        <f>K203</f>
        <v>0</v>
      </c>
      <c r="J215" s="4">
        <f>K204</f>
        <v>0</v>
      </c>
    </row>
    <row r="216" spans="1:15" x14ac:dyDescent="0.25">
      <c r="A216" s="6">
        <f t="shared" si="21"/>
        <v>0</v>
      </c>
      <c r="B216" s="4">
        <f>L196</f>
        <v>0</v>
      </c>
      <c r="C216" s="4">
        <f>L197</f>
        <v>0</v>
      </c>
      <c r="D216" s="4">
        <f>L198</f>
        <v>0</v>
      </c>
      <c r="E216" s="4">
        <f>L199</f>
        <v>0</v>
      </c>
      <c r="F216" s="4">
        <f>L200</f>
        <v>0</v>
      </c>
      <c r="G216" s="4">
        <f>L201</f>
        <v>0</v>
      </c>
      <c r="H216" s="4">
        <f>L202</f>
        <v>0</v>
      </c>
      <c r="I216" s="4">
        <f>L203</f>
        <v>0</v>
      </c>
      <c r="J216" s="4">
        <f>L204</f>
        <v>0</v>
      </c>
    </row>
    <row r="217" spans="1:15" x14ac:dyDescent="0.25">
      <c r="A217" s="6">
        <f t="shared" si="21"/>
        <v>0</v>
      </c>
      <c r="B217" s="4">
        <f>M196</f>
        <v>0</v>
      </c>
      <c r="C217" s="4">
        <f>M197</f>
        <v>0</v>
      </c>
      <c r="D217" s="4">
        <f>M198</f>
        <v>0</v>
      </c>
      <c r="E217" s="4">
        <f>M199</f>
        <v>0</v>
      </c>
      <c r="F217" s="4">
        <f>M200</f>
        <v>0</v>
      </c>
      <c r="G217" s="4">
        <f>M201</f>
        <v>0</v>
      </c>
      <c r="H217" s="4">
        <f>M202</f>
        <v>0</v>
      </c>
      <c r="I217" s="4">
        <f>M203</f>
        <v>0</v>
      </c>
      <c r="J217" s="4">
        <f>M204</f>
        <v>0</v>
      </c>
    </row>
    <row r="218" spans="1:15" x14ac:dyDescent="0.25">
      <c r="A218" s="6">
        <f t="shared" si="21"/>
        <v>0</v>
      </c>
      <c r="B218" s="4">
        <f>N196</f>
        <v>0</v>
      </c>
      <c r="C218" s="4">
        <f>N197</f>
        <v>0</v>
      </c>
      <c r="D218" s="4">
        <f>N198</f>
        <v>0</v>
      </c>
      <c r="E218" s="4">
        <f>N199</f>
        <v>0</v>
      </c>
      <c r="F218" s="4">
        <f>N200</f>
        <v>0</v>
      </c>
      <c r="G218" s="4">
        <f>N201</f>
        <v>0</v>
      </c>
      <c r="H218" s="4">
        <f>N202</f>
        <v>0</v>
      </c>
      <c r="I218" s="4">
        <f>N203</f>
        <v>0</v>
      </c>
      <c r="J218" s="4">
        <f>N204</f>
        <v>0</v>
      </c>
    </row>
    <row r="219" spans="1:15" x14ac:dyDescent="0.25">
      <c r="A219" s="6">
        <f t="shared" si="21"/>
        <v>0</v>
      </c>
      <c r="B219" s="4">
        <f>O196</f>
        <v>0</v>
      </c>
      <c r="C219" s="4">
        <f>O197</f>
        <v>0</v>
      </c>
      <c r="D219" s="4">
        <f>O198</f>
        <v>0</v>
      </c>
      <c r="E219" s="4">
        <f>O199</f>
        <v>0</v>
      </c>
      <c r="F219" s="4">
        <f>O200</f>
        <v>0</v>
      </c>
      <c r="G219" s="4">
        <f>O201</f>
        <v>0</v>
      </c>
      <c r="H219" s="4">
        <f>O202</f>
        <v>0</v>
      </c>
      <c r="I219" s="4">
        <f>O203</f>
        <v>0</v>
      </c>
      <c r="J219" s="4">
        <f>O204</f>
        <v>0</v>
      </c>
    </row>
    <row r="222" spans="1:15" x14ac:dyDescent="0.25">
      <c r="A222" s="84" t="s">
        <v>209</v>
      </c>
      <c r="B222" s="84"/>
      <c r="C222" s="84"/>
      <c r="D222" s="29">
        <f>A166</f>
        <v>0</v>
      </c>
      <c r="E222" s="29">
        <f>A167</f>
        <v>0</v>
      </c>
      <c r="F222" s="29">
        <f>A168</f>
        <v>0</v>
      </c>
      <c r="G222" s="29">
        <f>A169</f>
        <v>0</v>
      </c>
      <c r="H222" s="29">
        <f>A170</f>
        <v>0</v>
      </c>
      <c r="I222" s="29">
        <f>A171</f>
        <v>0</v>
      </c>
      <c r="J222" s="29">
        <f>A172</f>
        <v>0</v>
      </c>
      <c r="K222" s="29">
        <f>A173</f>
        <v>0</v>
      </c>
      <c r="L222" s="29">
        <f>A174</f>
        <v>0</v>
      </c>
      <c r="M222" s="29">
        <f>A175</f>
        <v>0</v>
      </c>
      <c r="N222" s="29">
        <f>A176</f>
        <v>0</v>
      </c>
      <c r="O222" s="29">
        <f>A177</f>
        <v>0</v>
      </c>
    </row>
    <row r="223" spans="1:15" x14ac:dyDescent="0.25">
      <c r="A223" s="1" t="s">
        <v>210</v>
      </c>
      <c r="B223" s="4">
        <f>SUM(D223:O223)</f>
        <v>0</v>
      </c>
      <c r="C223" s="11" t="e">
        <f>(B223/$B$230)*1</f>
        <v>#DIV/0!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25">
      <c r="A224" s="1" t="s">
        <v>211</v>
      </c>
      <c r="B224" s="4">
        <f t="shared" ref="B224:B229" si="22">SUM(D224:O224)</f>
        <v>0</v>
      </c>
      <c r="C224" s="11" t="e">
        <f t="shared" ref="C224:C229" si="23">(B224/$B$230)*1</f>
        <v>#DIV/0!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83" x14ac:dyDescent="0.25">
      <c r="A225" s="1" t="s">
        <v>212</v>
      </c>
      <c r="B225" s="4">
        <f t="shared" si="22"/>
        <v>0</v>
      </c>
      <c r="C225" s="11" t="e">
        <f t="shared" si="23"/>
        <v>#DIV/0!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83" x14ac:dyDescent="0.25">
      <c r="A226" s="1" t="s">
        <v>213</v>
      </c>
      <c r="B226" s="4">
        <f t="shared" si="22"/>
        <v>0</v>
      </c>
      <c r="C226" s="11" t="e">
        <f t="shared" si="23"/>
        <v>#DIV/0!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83" x14ac:dyDescent="0.25">
      <c r="A227" s="1" t="s">
        <v>214</v>
      </c>
      <c r="B227" s="4">
        <f t="shared" si="22"/>
        <v>0</v>
      </c>
      <c r="C227" s="11" t="e">
        <f t="shared" si="23"/>
        <v>#DIV/0!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83" x14ac:dyDescent="0.25">
      <c r="A228" s="1" t="s">
        <v>215</v>
      </c>
      <c r="B228" s="4">
        <f t="shared" si="22"/>
        <v>0</v>
      </c>
      <c r="C228" s="11" t="e">
        <f t="shared" si="23"/>
        <v>#DIV/0!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83" x14ac:dyDescent="0.25">
      <c r="A229" s="1" t="s">
        <v>216</v>
      </c>
      <c r="B229" s="4">
        <f t="shared" si="22"/>
        <v>0</v>
      </c>
      <c r="C229" s="30" t="e">
        <f t="shared" si="23"/>
        <v>#DIV/0!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</row>
    <row r="230" spans="1:83" x14ac:dyDescent="0.25">
      <c r="A230" s="1"/>
      <c r="B230" s="17">
        <f t="shared" ref="B230:O230" si="24">SUM(B223:B229)</f>
        <v>0</v>
      </c>
      <c r="C230" s="11" t="e">
        <f t="shared" si="24"/>
        <v>#DIV/0!</v>
      </c>
      <c r="D230" s="1">
        <f t="shared" si="24"/>
        <v>0</v>
      </c>
      <c r="E230" s="1">
        <f t="shared" si="24"/>
        <v>0</v>
      </c>
      <c r="F230" s="1">
        <f t="shared" si="24"/>
        <v>0</v>
      </c>
      <c r="G230" s="1">
        <f t="shared" si="24"/>
        <v>0</v>
      </c>
      <c r="H230" s="1">
        <f t="shared" si="24"/>
        <v>0</v>
      </c>
      <c r="I230" s="1">
        <f t="shared" si="24"/>
        <v>0</v>
      </c>
      <c r="J230" s="1">
        <f t="shared" si="24"/>
        <v>0</v>
      </c>
      <c r="K230" s="1">
        <f t="shared" si="24"/>
        <v>0</v>
      </c>
      <c r="L230" s="1">
        <f t="shared" si="24"/>
        <v>0</v>
      </c>
      <c r="M230" s="1">
        <f t="shared" si="24"/>
        <v>0</v>
      </c>
      <c r="N230" s="1">
        <f t="shared" si="24"/>
        <v>0</v>
      </c>
      <c r="O230" s="1">
        <f t="shared" si="24"/>
        <v>0</v>
      </c>
      <c r="P230" s="32">
        <f>SUM(D230:O230)</f>
        <v>0</v>
      </c>
    </row>
    <row r="231" spans="1:83" x14ac:dyDescent="0.25">
      <c r="A231" s="27"/>
      <c r="B231" s="27"/>
      <c r="C231" s="6" t="s">
        <v>218</v>
      </c>
      <c r="D231" s="11" t="e">
        <f>(D230/$B$230)*1</f>
        <v>#DIV/0!</v>
      </c>
      <c r="E231" s="11" t="e">
        <f t="shared" ref="E231:O231" si="25">(E230/$B$230)*1</f>
        <v>#DIV/0!</v>
      </c>
      <c r="F231" s="11" t="e">
        <f t="shared" si="25"/>
        <v>#DIV/0!</v>
      </c>
      <c r="G231" s="11" t="e">
        <f t="shared" si="25"/>
        <v>#DIV/0!</v>
      </c>
      <c r="H231" s="11" t="e">
        <f t="shared" si="25"/>
        <v>#DIV/0!</v>
      </c>
      <c r="I231" s="11" t="e">
        <f t="shared" si="25"/>
        <v>#DIV/0!</v>
      </c>
      <c r="J231" s="11" t="e">
        <f t="shared" si="25"/>
        <v>#DIV/0!</v>
      </c>
      <c r="K231" s="11" t="e">
        <f t="shared" si="25"/>
        <v>#DIV/0!</v>
      </c>
      <c r="L231" s="11" t="e">
        <f t="shared" si="25"/>
        <v>#DIV/0!</v>
      </c>
      <c r="M231" s="11" t="e">
        <f t="shared" si="25"/>
        <v>#DIV/0!</v>
      </c>
      <c r="N231" s="11" t="e">
        <f t="shared" si="25"/>
        <v>#DIV/0!</v>
      </c>
      <c r="O231" s="11" t="e">
        <f t="shared" si="25"/>
        <v>#DIV/0!</v>
      </c>
      <c r="P231" s="11" t="e">
        <f>SUM(D231:O231)</f>
        <v>#DIV/0!</v>
      </c>
    </row>
    <row r="233" spans="1:83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</row>
    <row r="235" spans="1:83" x14ac:dyDescent="0.25">
      <c r="A235" s="85" t="s">
        <v>219</v>
      </c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</row>
    <row r="237" spans="1:83" x14ac:dyDescent="0.25">
      <c r="A237" s="86" t="s">
        <v>220</v>
      </c>
      <c r="B237" s="87"/>
      <c r="C237" s="87"/>
      <c r="D237" s="88"/>
    </row>
    <row r="238" spans="1:83" x14ac:dyDescent="0.25">
      <c r="A238" s="6" t="s">
        <v>221</v>
      </c>
      <c r="B238" s="6" t="s">
        <v>13</v>
      </c>
      <c r="C238" s="6" t="s">
        <v>222</v>
      </c>
      <c r="D238" s="6" t="s">
        <v>6</v>
      </c>
      <c r="F238" s="86" t="s">
        <v>225</v>
      </c>
      <c r="G238" s="88"/>
      <c r="I238" s="33"/>
    </row>
    <row r="239" spans="1:83" x14ac:dyDescent="0.25">
      <c r="A239" s="4"/>
      <c r="B239" s="4"/>
      <c r="C239" s="4"/>
      <c r="D239" s="1">
        <f>SUM(A239:C239)</f>
        <v>0</v>
      </c>
      <c r="F239" s="6" t="s">
        <v>8</v>
      </c>
      <c r="G239" s="6" t="s">
        <v>7</v>
      </c>
      <c r="H239" s="6" t="s">
        <v>6</v>
      </c>
      <c r="BZ239" s="6" t="s">
        <v>586</v>
      </c>
      <c r="CA239" s="6"/>
      <c r="CB239" s="6"/>
      <c r="CC239" s="6"/>
      <c r="CD239" s="6"/>
      <c r="CE239" s="6"/>
    </row>
    <row r="240" spans="1:83" x14ac:dyDescent="0.25">
      <c r="F240" s="31">
        <f>E24</f>
        <v>0</v>
      </c>
      <c r="G240" s="31">
        <f>D24</f>
        <v>0</v>
      </c>
      <c r="H240" s="34">
        <f>SUM(F240:G240)</f>
        <v>0</v>
      </c>
      <c r="BZ240" s="68">
        <v>1</v>
      </c>
      <c r="CA240" s="6"/>
      <c r="CB240" s="6">
        <v>2</v>
      </c>
      <c r="CC240" s="6"/>
      <c r="CD240" s="6">
        <v>3</v>
      </c>
      <c r="CE240" s="6"/>
    </row>
    <row r="241" spans="1:84" x14ac:dyDescent="0.25">
      <c r="A241" s="6" t="s">
        <v>223</v>
      </c>
      <c r="B241" s="6">
        <v>1</v>
      </c>
      <c r="C241" s="6">
        <v>2</v>
      </c>
      <c r="D241" s="6">
        <v>3</v>
      </c>
      <c r="E241" s="92"/>
      <c r="F241" s="6" t="s">
        <v>224</v>
      </c>
      <c r="G241" s="6" t="s">
        <v>8</v>
      </c>
      <c r="H241" s="6" t="s">
        <v>7</v>
      </c>
      <c r="I241" s="6" t="s">
        <v>6</v>
      </c>
      <c r="J241" s="6" t="s">
        <v>5</v>
      </c>
      <c r="L241" s="6" t="s">
        <v>227</v>
      </c>
      <c r="M241" s="6" t="s">
        <v>8</v>
      </c>
      <c r="N241" s="6" t="s">
        <v>7</v>
      </c>
      <c r="O241" s="6" t="s">
        <v>6</v>
      </c>
      <c r="P241" s="6" t="s">
        <v>5</v>
      </c>
      <c r="R241" s="6" t="s">
        <v>228</v>
      </c>
      <c r="S241" s="6" t="s">
        <v>8</v>
      </c>
      <c r="T241" s="6" t="s">
        <v>7</v>
      </c>
      <c r="U241" s="6" t="s">
        <v>6</v>
      </c>
      <c r="V241" s="6" t="s">
        <v>5</v>
      </c>
      <c r="X241" s="6" t="s">
        <v>229</v>
      </c>
      <c r="Y241" s="6" t="s">
        <v>8</v>
      </c>
      <c r="Z241" s="6" t="s">
        <v>7</v>
      </c>
      <c r="AA241" s="6" t="s">
        <v>6</v>
      </c>
      <c r="AB241" s="6" t="s">
        <v>5</v>
      </c>
      <c r="AD241" s="6" t="s">
        <v>230</v>
      </c>
      <c r="AE241" s="6" t="s">
        <v>8</v>
      </c>
      <c r="AF241" s="6" t="s">
        <v>7</v>
      </c>
      <c r="AG241" s="6" t="s">
        <v>6</v>
      </c>
      <c r="AH241" s="6" t="s">
        <v>5</v>
      </c>
      <c r="AJ241" s="6" t="s">
        <v>231</v>
      </c>
      <c r="AK241" s="6" t="s">
        <v>8</v>
      </c>
      <c r="AL241" s="6" t="s">
        <v>7</v>
      </c>
      <c r="AM241" s="6" t="s">
        <v>6</v>
      </c>
      <c r="AN241" s="6" t="s">
        <v>5</v>
      </c>
      <c r="AP241" s="6" t="s">
        <v>232</v>
      </c>
      <c r="AQ241" s="6" t="s">
        <v>8</v>
      </c>
      <c r="AR241" s="6" t="s">
        <v>7</v>
      </c>
      <c r="AS241" s="6" t="s">
        <v>6</v>
      </c>
      <c r="AT241" s="6" t="s">
        <v>5</v>
      </c>
      <c r="AV241" s="6" t="s">
        <v>233</v>
      </c>
      <c r="AW241" s="6" t="s">
        <v>8</v>
      </c>
      <c r="AX241" s="6" t="s">
        <v>7</v>
      </c>
      <c r="AY241" s="6" t="s">
        <v>6</v>
      </c>
      <c r="AZ241" s="6" t="s">
        <v>5</v>
      </c>
      <c r="BB241" s="6" t="s">
        <v>234</v>
      </c>
      <c r="BC241" s="6" t="s">
        <v>8</v>
      </c>
      <c r="BD241" s="6" t="s">
        <v>7</v>
      </c>
      <c r="BE241" s="6" t="s">
        <v>6</v>
      </c>
      <c r="BF241" s="6" t="s">
        <v>5</v>
      </c>
      <c r="BH241" s="6" t="s">
        <v>235</v>
      </c>
      <c r="BI241" s="6" t="s">
        <v>8</v>
      </c>
      <c r="BJ241" s="6" t="s">
        <v>7</v>
      </c>
      <c r="BK241" s="6" t="s">
        <v>6</v>
      </c>
      <c r="BL241" s="6" t="s">
        <v>5</v>
      </c>
      <c r="BN241" s="6" t="s">
        <v>236</v>
      </c>
      <c r="BO241" s="6" t="s">
        <v>8</v>
      </c>
      <c r="BP241" s="6" t="s">
        <v>7</v>
      </c>
      <c r="BQ241" s="6" t="s">
        <v>6</v>
      </c>
      <c r="BR241" s="6" t="s">
        <v>5</v>
      </c>
      <c r="BT241" s="6" t="s">
        <v>237</v>
      </c>
      <c r="BU241" s="6" t="s">
        <v>8</v>
      </c>
      <c r="BV241" s="6" t="s">
        <v>7</v>
      </c>
      <c r="BW241" s="6" t="s">
        <v>6</v>
      </c>
      <c r="BX241" s="6" t="s">
        <v>5</v>
      </c>
      <c r="BZ241" s="69" t="s">
        <v>8</v>
      </c>
      <c r="CA241" s="70" t="s">
        <v>7</v>
      </c>
      <c r="CB241" s="71" t="s">
        <v>8</v>
      </c>
      <c r="CC241" s="72" t="s">
        <v>7</v>
      </c>
      <c r="CD241" s="69" t="s">
        <v>8</v>
      </c>
      <c r="CE241" s="70" t="s">
        <v>7</v>
      </c>
    </row>
    <row r="242" spans="1:84" x14ac:dyDescent="0.25">
      <c r="A242" s="1">
        <v>1</v>
      </c>
      <c r="B242" s="4"/>
      <c r="C242" s="4"/>
      <c r="D242" s="4"/>
      <c r="E242" s="92"/>
      <c r="F242" s="1">
        <f>B242</f>
        <v>0</v>
      </c>
      <c r="G242" s="4">
        <f>BZ242</f>
        <v>0</v>
      </c>
      <c r="H242" s="4">
        <f>CA242</f>
        <v>0</v>
      </c>
      <c r="I242" s="35">
        <f>SUM(G242:H242)</f>
        <v>0</v>
      </c>
      <c r="J242" s="11" t="e">
        <f>(I242/$H$240)*1</f>
        <v>#DIV/0!</v>
      </c>
      <c r="L242" s="1">
        <f>B243</f>
        <v>0</v>
      </c>
      <c r="M242" s="4">
        <f>$BZ$243</f>
        <v>0</v>
      </c>
      <c r="N242" s="4">
        <f>$CA$243</f>
        <v>0</v>
      </c>
      <c r="O242" s="35">
        <f>SUM(M242:N242)</f>
        <v>0</v>
      </c>
      <c r="P242" s="11" t="e">
        <f>(O242/$H$240)*1</f>
        <v>#DIV/0!</v>
      </c>
      <c r="R242" s="1">
        <f>B244</f>
        <v>0</v>
      </c>
      <c r="S242" s="4">
        <f>$BZ$244</f>
        <v>0</v>
      </c>
      <c r="T242" s="4">
        <f>$CA$244</f>
        <v>0</v>
      </c>
      <c r="U242" s="35">
        <f>SUM(S242:T242)</f>
        <v>0</v>
      </c>
      <c r="V242" s="11" t="e">
        <f>(U242/$H$240)*1</f>
        <v>#DIV/0!</v>
      </c>
      <c r="X242" s="1">
        <f>B245</f>
        <v>0</v>
      </c>
      <c r="Y242" s="4">
        <f>$BZ$245</f>
        <v>0</v>
      </c>
      <c r="Z242" s="4">
        <f>$CA$245</f>
        <v>0</v>
      </c>
      <c r="AA242" s="35">
        <f>SUM(Y242:Z242)</f>
        <v>0</v>
      </c>
      <c r="AB242" s="11" t="e">
        <f>(AA242/$H$240)*1</f>
        <v>#DIV/0!</v>
      </c>
      <c r="AD242" s="1">
        <f>B246</f>
        <v>0</v>
      </c>
      <c r="AE242" s="4">
        <f>$BZ$246</f>
        <v>0</v>
      </c>
      <c r="AF242" s="4">
        <f>$CA$246</f>
        <v>0</v>
      </c>
      <c r="AG242" s="35">
        <f>SUM(AE242:AF242)</f>
        <v>0</v>
      </c>
      <c r="AH242" s="11" t="e">
        <f>(AG242/$H$240)*1</f>
        <v>#DIV/0!</v>
      </c>
      <c r="AJ242" s="1">
        <f>B247</f>
        <v>0</v>
      </c>
      <c r="AK242" s="4">
        <f>$BZ$247</f>
        <v>0</v>
      </c>
      <c r="AL242" s="4">
        <f>$CA$247</f>
        <v>0</v>
      </c>
      <c r="AM242" s="35">
        <f>SUM(AK242:AL242)</f>
        <v>0</v>
      </c>
      <c r="AN242" s="11" t="e">
        <f>(AM242/$H$240)*1</f>
        <v>#DIV/0!</v>
      </c>
      <c r="AP242" s="1">
        <f>B248</f>
        <v>0</v>
      </c>
      <c r="AQ242" s="4">
        <f>$BZ$248</f>
        <v>0</v>
      </c>
      <c r="AR242" s="4">
        <f>$CA$248</f>
        <v>0</v>
      </c>
      <c r="AS242" s="35">
        <f>SUM(AQ242:AR242)</f>
        <v>0</v>
      </c>
      <c r="AT242" s="11" t="e">
        <f>(AS242/$H$240)*1</f>
        <v>#DIV/0!</v>
      </c>
      <c r="AV242" s="1">
        <f>B249</f>
        <v>0</v>
      </c>
      <c r="AW242" s="4">
        <f>$BZ$249</f>
        <v>0</v>
      </c>
      <c r="AX242" s="4">
        <f>$CA$249</f>
        <v>0</v>
      </c>
      <c r="AY242" s="35">
        <f>SUM(AW242:AX242)</f>
        <v>0</v>
      </c>
      <c r="AZ242" s="11" t="e">
        <f>(AY242/$H$240)*1</f>
        <v>#DIV/0!</v>
      </c>
      <c r="BB242" s="1">
        <f>B250</f>
        <v>0</v>
      </c>
      <c r="BC242" s="4">
        <f>$BZ$250</f>
        <v>0</v>
      </c>
      <c r="BD242" s="4">
        <f>$CA$250</f>
        <v>0</v>
      </c>
      <c r="BE242" s="35">
        <f>SUM(BC242:BD242)</f>
        <v>0</v>
      </c>
      <c r="BF242" s="11" t="e">
        <f>(BE242/$H$240)*1</f>
        <v>#DIV/0!</v>
      </c>
      <c r="BH242" s="1">
        <f>B251</f>
        <v>0</v>
      </c>
      <c r="BI242" s="4">
        <f>$BZ$251</f>
        <v>0</v>
      </c>
      <c r="BJ242" s="4">
        <f>$CA$251</f>
        <v>0</v>
      </c>
      <c r="BK242" s="35">
        <f>SUM(BI242:BJ242)</f>
        <v>0</v>
      </c>
      <c r="BL242" s="11" t="e">
        <f>(BK242/$H$240)*1</f>
        <v>#DIV/0!</v>
      </c>
      <c r="BN242" s="1">
        <f>B252</f>
        <v>0</v>
      </c>
      <c r="BO242" s="4">
        <f>$BZ$252</f>
        <v>0</v>
      </c>
      <c r="BP242" s="4">
        <f>$CA$252</f>
        <v>0</v>
      </c>
      <c r="BQ242" s="35">
        <f>SUM(BO242:BP242)</f>
        <v>0</v>
      </c>
      <c r="BR242" s="11" t="e">
        <f>(BQ242/$H$240)*1</f>
        <v>#DIV/0!</v>
      </c>
      <c r="BT242" s="1">
        <f>B253</f>
        <v>0</v>
      </c>
      <c r="BU242" s="4">
        <f>$BZ$253</f>
        <v>0</v>
      </c>
      <c r="BV242" s="4">
        <f>$CA$253</f>
        <v>0</v>
      </c>
      <c r="BW242" s="35">
        <f>SUM(BU242:BV242)</f>
        <v>0</v>
      </c>
      <c r="BX242" s="11" t="e">
        <f>(BW242/$H$240)*1</f>
        <v>#DIV/0!</v>
      </c>
      <c r="BZ242" s="74"/>
      <c r="CA242" s="32"/>
      <c r="CB242" s="32"/>
      <c r="CC242" s="32"/>
      <c r="CD242" s="32"/>
      <c r="CE242" s="32"/>
      <c r="CF242" s="41"/>
    </row>
    <row r="243" spans="1:84" x14ac:dyDescent="0.25">
      <c r="A243" s="1">
        <v>2</v>
      </c>
      <c r="B243" s="4"/>
      <c r="C243" s="4"/>
      <c r="D243" s="4"/>
      <c r="E243" s="92"/>
      <c r="F243" s="1">
        <f>C242</f>
        <v>0</v>
      </c>
      <c r="G243" s="4">
        <f>CB242</f>
        <v>0</v>
      </c>
      <c r="H243" s="4">
        <f>CC242</f>
        <v>0</v>
      </c>
      <c r="I243" s="35">
        <f t="shared" ref="I243:I244" si="26">SUM(G243:H243)</f>
        <v>0</v>
      </c>
      <c r="J243" s="11" t="e">
        <f t="shared" ref="J243:J244" si="27">(I243/$H$240)*1</f>
        <v>#DIV/0!</v>
      </c>
      <c r="L243" s="1">
        <f>C243</f>
        <v>0</v>
      </c>
      <c r="M243" s="4">
        <f>$CB$243</f>
        <v>0</v>
      </c>
      <c r="N243" s="4">
        <f>$CC$243</f>
        <v>0</v>
      </c>
      <c r="O243" s="35">
        <f t="shared" ref="O243:O244" si="28">SUM(M243:N243)</f>
        <v>0</v>
      </c>
      <c r="P243" s="11" t="e">
        <f t="shared" ref="P243:P244" si="29">(O243/$H$240)*1</f>
        <v>#DIV/0!</v>
      </c>
      <c r="R243" s="1">
        <f>C244</f>
        <v>0</v>
      </c>
      <c r="S243" s="4">
        <f>$CB$244</f>
        <v>0</v>
      </c>
      <c r="T243" s="4">
        <f>$CC$244</f>
        <v>0</v>
      </c>
      <c r="U243" s="35">
        <f t="shared" ref="U243:U244" si="30">SUM(S243:T243)</f>
        <v>0</v>
      </c>
      <c r="V243" s="11" t="e">
        <f t="shared" ref="V243:V244" si="31">(U243/$H$240)*1</f>
        <v>#DIV/0!</v>
      </c>
      <c r="X243" s="1">
        <f>C245</f>
        <v>0</v>
      </c>
      <c r="Y243" s="4">
        <f>$CB$245</f>
        <v>0</v>
      </c>
      <c r="Z243" s="4">
        <f>$CC$245</f>
        <v>0</v>
      </c>
      <c r="AA243" s="35">
        <f t="shared" ref="AA243:AA244" si="32">SUM(Y243:Z243)</f>
        <v>0</v>
      </c>
      <c r="AB243" s="11" t="e">
        <f t="shared" ref="AB243:AB244" si="33">(AA243/$H$240)*1</f>
        <v>#DIV/0!</v>
      </c>
      <c r="AD243" s="1">
        <f>C246</f>
        <v>0</v>
      </c>
      <c r="AE243" s="4">
        <f>$CB$246</f>
        <v>0</v>
      </c>
      <c r="AF243" s="4">
        <f>$CC$246</f>
        <v>0</v>
      </c>
      <c r="AG243" s="35">
        <f t="shared" ref="AG243:AG244" si="34">SUM(AE243:AF243)</f>
        <v>0</v>
      </c>
      <c r="AH243" s="11" t="e">
        <f t="shared" ref="AH243:AH244" si="35">(AG243/$H$240)*1</f>
        <v>#DIV/0!</v>
      </c>
      <c r="AJ243" s="1">
        <f>C247</f>
        <v>0</v>
      </c>
      <c r="AK243" s="4">
        <f>$CB$247</f>
        <v>0</v>
      </c>
      <c r="AL243" s="4">
        <f>$CC$247</f>
        <v>0</v>
      </c>
      <c r="AM243" s="35">
        <f t="shared" ref="AM243:AM244" si="36">SUM(AK243:AL243)</f>
        <v>0</v>
      </c>
      <c r="AN243" s="11" t="e">
        <f t="shared" ref="AN243:AN244" si="37">(AM243/$H$240)*1</f>
        <v>#DIV/0!</v>
      </c>
      <c r="AP243" s="1">
        <f>C248</f>
        <v>0</v>
      </c>
      <c r="AQ243" s="4">
        <f>$CB$248</f>
        <v>0</v>
      </c>
      <c r="AR243" s="4">
        <f>$CC$248</f>
        <v>0</v>
      </c>
      <c r="AS243" s="35">
        <f t="shared" ref="AS243:AS244" si="38">SUM(AQ243:AR243)</f>
        <v>0</v>
      </c>
      <c r="AT243" s="11" t="e">
        <f t="shared" ref="AT243:AT244" si="39">(AS243/$H$240)*1</f>
        <v>#DIV/0!</v>
      </c>
      <c r="AV243" s="1">
        <f>C249</f>
        <v>0</v>
      </c>
      <c r="AW243" s="4">
        <f>$CB$249</f>
        <v>0</v>
      </c>
      <c r="AX243" s="4">
        <f>$CC$249</f>
        <v>0</v>
      </c>
      <c r="AY243" s="35">
        <f t="shared" ref="AY243:AY244" si="40">SUM(AW243:AX243)</f>
        <v>0</v>
      </c>
      <c r="AZ243" s="11" t="e">
        <f t="shared" ref="AZ243:AZ244" si="41">(AY243/$H$240)*1</f>
        <v>#DIV/0!</v>
      </c>
      <c r="BB243" s="1">
        <f>C250</f>
        <v>0</v>
      </c>
      <c r="BC243" s="4">
        <f>$CB$250</f>
        <v>0</v>
      </c>
      <c r="BD243" s="4">
        <f>$CC$250</f>
        <v>0</v>
      </c>
      <c r="BE243" s="35">
        <f t="shared" ref="BE243:BE244" si="42">SUM(BC243:BD243)</f>
        <v>0</v>
      </c>
      <c r="BF243" s="11" t="e">
        <f t="shared" ref="BF243:BF244" si="43">(BE243/$H$240)*1</f>
        <v>#DIV/0!</v>
      </c>
      <c r="BH243" s="1">
        <f>C251</f>
        <v>0</v>
      </c>
      <c r="BI243" s="4">
        <f>$CB$251</f>
        <v>0</v>
      </c>
      <c r="BJ243" s="4">
        <f>$CC$251</f>
        <v>0</v>
      </c>
      <c r="BK243" s="35">
        <f t="shared" ref="BK243:BK244" si="44">SUM(BI243:BJ243)</f>
        <v>0</v>
      </c>
      <c r="BL243" s="11" t="e">
        <f t="shared" ref="BL243:BL244" si="45">(BK243/$H$240)*1</f>
        <v>#DIV/0!</v>
      </c>
      <c r="BN243" s="1">
        <f>C252</f>
        <v>0</v>
      </c>
      <c r="BO243" s="4">
        <f>$CB$252</f>
        <v>0</v>
      </c>
      <c r="BP243" s="4">
        <f>$CC$252</f>
        <v>0</v>
      </c>
      <c r="BQ243" s="35">
        <f t="shared" ref="BQ243:BQ244" si="46">SUM(BO243:BP243)</f>
        <v>0</v>
      </c>
      <c r="BR243" s="11" t="e">
        <f t="shared" ref="BR243:BR244" si="47">(BQ243/$H$240)*1</f>
        <v>#DIV/0!</v>
      </c>
      <c r="BT243" s="1">
        <f>C253</f>
        <v>0</v>
      </c>
      <c r="BU243" s="4">
        <f>$CB$253</f>
        <v>0</v>
      </c>
      <c r="BV243" s="4">
        <f>$CC$253</f>
        <v>0</v>
      </c>
      <c r="BW243" s="35">
        <f t="shared" ref="BW243:BW244" si="48">SUM(BU243:BV243)</f>
        <v>0</v>
      </c>
      <c r="BX243" s="11" t="e">
        <f t="shared" ref="BX243:BX244" si="49">(BW243/$H$240)*1</f>
        <v>#DIV/0!</v>
      </c>
      <c r="BZ243" s="32"/>
      <c r="CA243" s="75"/>
      <c r="CB243" s="32"/>
      <c r="CC243" s="75"/>
      <c r="CD243" s="32"/>
      <c r="CE243" s="75"/>
    </row>
    <row r="244" spans="1:84" x14ac:dyDescent="0.25">
      <c r="A244" s="1">
        <v>3</v>
      </c>
      <c r="B244" s="4"/>
      <c r="C244" s="4"/>
      <c r="D244" s="4"/>
      <c r="E244" s="92"/>
      <c r="F244" s="1">
        <f>D242</f>
        <v>0</v>
      </c>
      <c r="G244" s="4">
        <f>CD242</f>
        <v>0</v>
      </c>
      <c r="H244" s="4">
        <f>CE242</f>
        <v>0</v>
      </c>
      <c r="I244" s="35">
        <f t="shared" si="26"/>
        <v>0</v>
      </c>
      <c r="J244" s="11" t="e">
        <f t="shared" si="27"/>
        <v>#DIV/0!</v>
      </c>
      <c r="L244" s="1">
        <f>D243</f>
        <v>0</v>
      </c>
      <c r="M244" s="4">
        <f>$CD$243</f>
        <v>0</v>
      </c>
      <c r="N244" s="4">
        <f>$CE$243</f>
        <v>0</v>
      </c>
      <c r="O244" s="35">
        <f t="shared" si="28"/>
        <v>0</v>
      </c>
      <c r="P244" s="11" t="e">
        <f t="shared" si="29"/>
        <v>#DIV/0!</v>
      </c>
      <c r="R244" s="1">
        <f>D244</f>
        <v>0</v>
      </c>
      <c r="S244" s="4">
        <f>$CD$244</f>
        <v>0</v>
      </c>
      <c r="T244" s="4">
        <f>$CE$244</f>
        <v>0</v>
      </c>
      <c r="U244" s="35">
        <f t="shared" si="30"/>
        <v>0</v>
      </c>
      <c r="V244" s="11" t="e">
        <f t="shared" si="31"/>
        <v>#DIV/0!</v>
      </c>
      <c r="X244" s="1">
        <f>D245</f>
        <v>0</v>
      </c>
      <c r="Y244" s="4">
        <f>$CD$245</f>
        <v>0</v>
      </c>
      <c r="Z244" s="4">
        <f>$CE$245</f>
        <v>0</v>
      </c>
      <c r="AA244" s="35">
        <f t="shared" si="32"/>
        <v>0</v>
      </c>
      <c r="AB244" s="11" t="e">
        <f t="shared" si="33"/>
        <v>#DIV/0!</v>
      </c>
      <c r="AD244" s="1">
        <f>D246</f>
        <v>0</v>
      </c>
      <c r="AE244" s="4">
        <f>$CD$246</f>
        <v>0</v>
      </c>
      <c r="AF244" s="4">
        <f>$CE$246</f>
        <v>0</v>
      </c>
      <c r="AG244" s="35">
        <f t="shared" si="34"/>
        <v>0</v>
      </c>
      <c r="AH244" s="11" t="e">
        <f t="shared" si="35"/>
        <v>#DIV/0!</v>
      </c>
      <c r="AJ244" s="1">
        <f>D247</f>
        <v>0</v>
      </c>
      <c r="AK244" s="4">
        <f>$CD$247</f>
        <v>0</v>
      </c>
      <c r="AL244" s="4">
        <f>$CE$247</f>
        <v>0</v>
      </c>
      <c r="AM244" s="35">
        <f t="shared" si="36"/>
        <v>0</v>
      </c>
      <c r="AN244" s="11" t="e">
        <f t="shared" si="37"/>
        <v>#DIV/0!</v>
      </c>
      <c r="AP244" s="1">
        <f>D248</f>
        <v>0</v>
      </c>
      <c r="AQ244" s="4">
        <f>$CD$248</f>
        <v>0</v>
      </c>
      <c r="AR244" s="4">
        <f>$CE$248</f>
        <v>0</v>
      </c>
      <c r="AS244" s="35">
        <f t="shared" si="38"/>
        <v>0</v>
      </c>
      <c r="AT244" s="11" t="e">
        <f t="shared" si="39"/>
        <v>#DIV/0!</v>
      </c>
      <c r="AV244" s="1">
        <f>D249</f>
        <v>0</v>
      </c>
      <c r="AW244" s="4">
        <f>$CD$249</f>
        <v>0</v>
      </c>
      <c r="AX244" s="4">
        <f>$CE$249</f>
        <v>0</v>
      </c>
      <c r="AY244" s="35">
        <f t="shared" si="40"/>
        <v>0</v>
      </c>
      <c r="AZ244" s="11" t="e">
        <f t="shared" si="41"/>
        <v>#DIV/0!</v>
      </c>
      <c r="BB244" s="1">
        <f>D250</f>
        <v>0</v>
      </c>
      <c r="BC244" s="4">
        <f>$CD$250</f>
        <v>0</v>
      </c>
      <c r="BD244" s="4">
        <f>$CE$250</f>
        <v>0</v>
      </c>
      <c r="BE244" s="35">
        <f t="shared" si="42"/>
        <v>0</v>
      </c>
      <c r="BF244" s="11" t="e">
        <f t="shared" si="43"/>
        <v>#DIV/0!</v>
      </c>
      <c r="BH244" s="1">
        <f>D251</f>
        <v>0</v>
      </c>
      <c r="BI244" s="4">
        <f>$CD$251</f>
        <v>0</v>
      </c>
      <c r="BJ244" s="4">
        <f>$CE$251</f>
        <v>0</v>
      </c>
      <c r="BK244" s="35">
        <f t="shared" si="44"/>
        <v>0</v>
      </c>
      <c r="BL244" s="11" t="e">
        <f t="shared" si="45"/>
        <v>#DIV/0!</v>
      </c>
      <c r="BN244" s="1">
        <f>D252</f>
        <v>0</v>
      </c>
      <c r="BO244" s="4">
        <f>$CD$252</f>
        <v>0</v>
      </c>
      <c r="BP244" s="4">
        <f>$CE$252</f>
        <v>0</v>
      </c>
      <c r="BQ244" s="35">
        <f t="shared" si="46"/>
        <v>0</v>
      </c>
      <c r="BR244" s="11" t="e">
        <f t="shared" si="47"/>
        <v>#DIV/0!</v>
      </c>
      <c r="BT244" s="1">
        <f>D253</f>
        <v>0</v>
      </c>
      <c r="BU244" s="4">
        <f>$CD$253</f>
        <v>0</v>
      </c>
      <c r="BV244" s="4">
        <f>$CE$253</f>
        <v>0</v>
      </c>
      <c r="BW244" s="35">
        <f t="shared" si="48"/>
        <v>0</v>
      </c>
      <c r="BX244" s="11" t="e">
        <f t="shared" si="49"/>
        <v>#DIV/0!</v>
      </c>
      <c r="BZ244" s="73"/>
      <c r="CA244" s="1"/>
      <c r="CB244" s="73"/>
      <c r="CC244" s="1"/>
      <c r="CD244" s="73"/>
      <c r="CE244" s="1"/>
    </row>
    <row r="245" spans="1:84" x14ac:dyDescent="0.25">
      <c r="A245" s="1">
        <v>4</v>
      </c>
      <c r="B245" s="4"/>
      <c r="C245" s="4"/>
      <c r="D245" s="4"/>
      <c r="E245" s="92"/>
      <c r="BZ245" s="1"/>
      <c r="CA245" s="1"/>
      <c r="CB245" s="1"/>
      <c r="CC245" s="1"/>
      <c r="CD245" s="1"/>
      <c r="CE245" s="1"/>
    </row>
    <row r="246" spans="1:84" x14ac:dyDescent="0.25">
      <c r="A246" s="1">
        <v>5</v>
      </c>
      <c r="B246" s="4"/>
      <c r="C246" s="4"/>
      <c r="D246" s="4"/>
      <c r="E246" s="92"/>
      <c r="F246" s="6" t="s">
        <v>182</v>
      </c>
      <c r="G246" s="6" t="s">
        <v>226</v>
      </c>
      <c r="H246" s="81"/>
      <c r="I246" s="6" t="s">
        <v>238</v>
      </c>
      <c r="J246" s="50" t="str">
        <f>IF(
  COUNTA(J249:J257)=0,
  "",
  IF(
    AND(
      COUNTIF(J249:J257,"FP")&gt;0,
      COUNTIF(J249:J257,"GL")=0
    ),
    "Fuerza Publica",
    IF(
      AND(
        COUNTIF(J249:J257,"GL")&gt;0,
        COUNTIF(J249:J257,"FP")=0
      ),
      "Municipalidad",
      "Mixta"
    )
  )
)</f>
        <v/>
      </c>
      <c r="K246" s="95"/>
      <c r="L246" s="6" t="s">
        <v>182</v>
      </c>
      <c r="M246" s="6" t="s">
        <v>226</v>
      </c>
      <c r="N246" s="81"/>
      <c r="O246" s="6" t="s">
        <v>238</v>
      </c>
      <c r="P246" s="50" t="str">
        <f>IF(
  COUNTA(P249:P257)=0,
  "",
  IF(
    AND(
      COUNTIF(P249:P257,"FP")&gt;0,
      COUNTIF(P249:P257,"GL")=0
    ),
    "Fuerza Publica",
    IF(
      AND(
        COUNTIF(P249:P257,"GL")&gt;0,
        COUNTIF(P249:P257,"FP")=0
      ),
      "Municipalidad",
      "Mixta"
    )
  )
)</f>
        <v/>
      </c>
      <c r="Q246" s="78"/>
      <c r="R246" s="6" t="s">
        <v>182</v>
      </c>
      <c r="S246" s="6" t="s">
        <v>226</v>
      </c>
      <c r="T246" s="81"/>
      <c r="U246" s="6" t="s">
        <v>238</v>
      </c>
      <c r="V246" s="4" t="str">
        <f>IF(
  COUNTA(V249:V257)=0,
  "",
  IF(
    AND(
      COUNTIF(V249:V257,"FP")&gt;0,
      COUNTIF(V249:V257,"GL")=0
    ),
    "Fuerza Publica",
    IF(
      AND(
        COUNTIF(V249:V257,"GL")&gt;0,
        COUNTIF(V249:V257,"FP")=0
      ),
      "Municipalidad",
      "Mixta"
    )
  )
)</f>
        <v/>
      </c>
      <c r="W246" s="78"/>
      <c r="X246" s="6" t="s">
        <v>182</v>
      </c>
      <c r="Y246" s="6" t="s">
        <v>226</v>
      </c>
      <c r="Z246" s="81"/>
      <c r="AA246" s="6" t="s">
        <v>238</v>
      </c>
      <c r="AB246" s="4" t="str">
        <f>IF(
  COUNTA(AB249:AB257)=0,
  "",
  IF(
    AND(
      COUNTIF(AB249:AB257,"FP")&gt;0,
      COUNTIF(AB249:AB257,"GL")=0
    ),
    "Fuerza Publica",
    IF(
      AND(
        COUNTIF(AB249:AB257,"GL")&gt;0,
        COUNTIF(AB249:AB257,"FP")=0
      ),
      "Municipalidad",
      "Mixta"
    )
  )
)</f>
        <v>Municipalidad</v>
      </c>
      <c r="AC246" s="78"/>
      <c r="AD246" s="6" t="s">
        <v>182</v>
      </c>
      <c r="AE246" s="6" t="s">
        <v>226</v>
      </c>
      <c r="AF246" s="81"/>
      <c r="AG246" s="6" t="s">
        <v>238</v>
      </c>
      <c r="AH246" s="4" t="str">
        <f>IF(
  COUNTA(AH249:AH257)=0,
  "",
  IF(
    AND(
      COUNTIF(AH249:AH257,"FP")&gt;0,
      COUNTIF(AH249:AH257,"GL")=0
    ),
    "Fuerza Publica",
    IF(
      AND(
        COUNTIF(AH249:AH257,"GL")&gt;0,
        COUNTIF(AH249:AH257,"FP")=0
      ),
      "Municipalidad",
      "Mixta"
    )
  )
)</f>
        <v/>
      </c>
      <c r="AI246" s="78"/>
      <c r="AJ246" s="6" t="s">
        <v>182</v>
      </c>
      <c r="AK246" s="6" t="s">
        <v>226</v>
      </c>
      <c r="AL246" s="81"/>
      <c r="AM246" s="6" t="s">
        <v>238</v>
      </c>
      <c r="AN246" s="4" t="str">
        <f>IF(
  COUNTA(AN249:AN257)=0,
  "",
  IF(
    AND(
      COUNTIF(AN249:AN257,"FP")&gt;0,
      COUNTIF(AN249:AN257,"GL")=0
    ),
    "Fuerza Publica",
    IF(
      AND(
        COUNTIF(AN249:AN257,"GL")&gt;0,
        COUNTIF(AN249:AN257,"FP")=0
      ),
      "Municipalidad",
      "Mixta"
    )
  )
)</f>
        <v/>
      </c>
      <c r="AO246" s="78"/>
      <c r="AP246" s="6" t="s">
        <v>182</v>
      </c>
      <c r="AQ246" s="6" t="s">
        <v>226</v>
      </c>
      <c r="AR246" s="81"/>
      <c r="AS246" s="6" t="s">
        <v>238</v>
      </c>
      <c r="AT246" s="4" t="str">
        <f>IF(
  COUNTA(AT249:AT257)=0,
  "",
  IF(
    AND(
      COUNTIF(AT249:AT257,"FP")&gt;0,
      COUNTIF(AT249:AT257,"GL")=0
    ),
    "Fuerza Publica",
    IF(
      AND(
        COUNTIF(AT249:AT257,"GL")&gt;0,
        COUNTIF(AT249:AT257,"FP")=0
      ),
      "Municipalidad",
      "Mixta"
    )
  )
)</f>
        <v/>
      </c>
      <c r="AU246" s="78"/>
      <c r="AV246" s="6" t="s">
        <v>182</v>
      </c>
      <c r="AW246" s="6" t="s">
        <v>226</v>
      </c>
      <c r="AX246" s="81"/>
      <c r="AY246" s="6" t="s">
        <v>238</v>
      </c>
      <c r="AZ246" s="4" t="str">
        <f>IF(
  COUNTA(AZ249:AZ257)=0,
  "",
  IF(
    AND(
      COUNTIF(AZ249:AZ257,"FP")&gt;0,
      COUNTIF(AZ249:AZ257,"GL")=0
    ),
    "Fuerza Publica",
    IF(
      AND(
        COUNTIF(AZ249:AZ257,"GL")&gt;0,
        COUNTIF(AZ249:AZ257,"FP")=0
      ),
      "Municipalidad",
      "Mixta"
    )
  )
)</f>
        <v/>
      </c>
      <c r="BA246" s="78"/>
      <c r="BB246" s="6" t="s">
        <v>182</v>
      </c>
      <c r="BC246" s="6" t="s">
        <v>226</v>
      </c>
      <c r="BD246" s="81"/>
      <c r="BE246" s="6" t="s">
        <v>238</v>
      </c>
      <c r="BF246" s="4" t="str">
        <f>IF(
  COUNTA(BF249:BF257)=0,
  "",
  IF(
    AND(
      COUNTIF(BF249:BF257,"FP")&gt;0,
      COUNTIF(BF249:BF257,"GL")=0
    ),
    "Fuerza Publica",
    IF(
      AND(
        COUNTIF(BF249:BF257,"GL")&gt;0,
        COUNTIF(BF249:BF257,"FP")=0
      ),
      "Municipalidad",
      "Mixta"
    )
  )
)</f>
        <v/>
      </c>
      <c r="BG246" s="78"/>
      <c r="BH246" s="6" t="s">
        <v>182</v>
      </c>
      <c r="BI246" s="6" t="s">
        <v>226</v>
      </c>
      <c r="BJ246" s="81"/>
      <c r="BK246" s="6" t="s">
        <v>238</v>
      </c>
      <c r="BL246" s="4" t="str">
        <f>IF(
  COUNTA(BL249:BL257)=0,
  "",
  IF(
    AND(
      COUNTIF(BL249:BL257,"FP")&gt;0,
      COUNTIF(BL249:BL257,"GL")=0
    ),
    "Fuerza Publica",
    IF(
      AND(
        COUNTIF(BL249:BL257,"GL")&gt;0,
        COUNTIF(BL249:BL257,"FP")=0
      ),
      "Municipalidad",
      "Mixta"
    )
  )
)</f>
        <v/>
      </c>
      <c r="BM246" s="78"/>
      <c r="BN246" s="6" t="s">
        <v>182</v>
      </c>
      <c r="BO246" s="6" t="s">
        <v>226</v>
      </c>
      <c r="BP246" s="81"/>
      <c r="BQ246" s="6" t="s">
        <v>238</v>
      </c>
      <c r="BR246" s="4" t="str">
        <f>IF(
  COUNTA(BR249:BR257)=0,
  "",
  IF(
    AND(
      COUNTIF(BR249:BR257,"FP")&gt;0,
      COUNTIF(BR249:BR257,"GL")=0
    ),
    "Fuerza Publica",
    IF(
      AND(
        COUNTIF(BR249:BR257,"GL")&gt;0,
        COUNTIF(BR249:BR257,"FP")=0
      ),
      "Municipalidad",
      "Mixta"
    )
  )
)</f>
        <v/>
      </c>
      <c r="BS246" s="78"/>
      <c r="BT246" s="6" t="s">
        <v>182</v>
      </c>
      <c r="BU246" s="6" t="s">
        <v>226</v>
      </c>
      <c r="BV246" s="81"/>
      <c r="BW246" s="6" t="s">
        <v>238</v>
      </c>
      <c r="BX246" s="4" t="str">
        <f>IF(
  COUNTA(BX249:BX257)=0,
  "",
  IF(
    AND(
      COUNTIF(BX249:BX257,"FP")&gt;0,
      COUNTIF(BX249:BX257,"GL")=0
    ),
    "Fuerza Publica",
    IF(
      AND(
        COUNTIF(BX249:BX257,"GL")&gt;0,
        COUNTIF(BX249:BX257,"FP")=0
      ),
      "Municipalidad",
      "Mixta"
    )
  )
)</f>
        <v/>
      </c>
      <c r="BY246" s="78"/>
      <c r="BZ246" s="1"/>
      <c r="CA246" s="1"/>
      <c r="CB246" s="1"/>
      <c r="CC246" s="1"/>
      <c r="CD246" s="1"/>
      <c r="CE246" s="1"/>
    </row>
    <row r="247" spans="1:84" x14ac:dyDescent="0.25">
      <c r="A247" s="1">
        <v>6</v>
      </c>
      <c r="B247" s="4"/>
      <c r="C247" s="4"/>
      <c r="D247" s="4"/>
      <c r="E247" s="92"/>
      <c r="F247" s="4"/>
      <c r="G247" s="4"/>
      <c r="H247" s="81"/>
      <c r="I247" s="1"/>
      <c r="J247" s="1"/>
      <c r="K247" s="95"/>
      <c r="L247" s="4"/>
      <c r="M247" s="4"/>
      <c r="N247" s="81"/>
      <c r="O247" s="1"/>
      <c r="P247" s="1"/>
      <c r="Q247" s="78"/>
      <c r="R247" s="4"/>
      <c r="S247" s="4"/>
      <c r="T247" s="81"/>
      <c r="U247" s="1"/>
      <c r="V247" s="1"/>
      <c r="W247" s="78"/>
      <c r="X247" s="4"/>
      <c r="Y247" s="4"/>
      <c r="Z247" s="81"/>
      <c r="AA247" s="1"/>
      <c r="AB247" s="1"/>
      <c r="AC247" s="78"/>
      <c r="AD247" s="4"/>
      <c r="AE247" s="4"/>
      <c r="AF247" s="78"/>
      <c r="AG247" s="1"/>
      <c r="AH247" s="1"/>
      <c r="AI247" s="78"/>
      <c r="AJ247" s="4"/>
      <c r="AK247" s="4"/>
      <c r="AL247" s="81"/>
      <c r="AM247" s="1"/>
      <c r="AN247" s="1"/>
      <c r="AO247" s="78"/>
      <c r="AP247" s="4"/>
      <c r="AQ247" s="4"/>
      <c r="AR247" s="81"/>
      <c r="AS247" s="1"/>
      <c r="AT247" s="1"/>
      <c r="AU247" s="78"/>
      <c r="AV247" s="4"/>
      <c r="AW247" s="4"/>
      <c r="AX247" s="81"/>
      <c r="AY247" s="1"/>
      <c r="AZ247" s="1"/>
      <c r="BA247" s="78"/>
      <c r="BB247" s="4"/>
      <c r="BC247" s="4"/>
      <c r="BD247" s="81"/>
      <c r="BE247" s="1"/>
      <c r="BF247" s="1"/>
      <c r="BG247" s="78"/>
      <c r="BH247" s="4"/>
      <c r="BI247" s="4"/>
      <c r="BJ247" s="81"/>
      <c r="BK247" s="1"/>
      <c r="BL247" s="1"/>
      <c r="BM247" s="78"/>
      <c r="BN247" s="4"/>
      <c r="BO247" s="4"/>
      <c r="BP247" s="81"/>
      <c r="BQ247" s="1"/>
      <c r="BR247" s="1"/>
      <c r="BS247" s="78"/>
      <c r="BT247" s="4"/>
      <c r="BU247" s="4"/>
      <c r="BV247" s="81"/>
      <c r="BW247" s="1"/>
      <c r="BX247" s="1"/>
      <c r="BY247" s="78"/>
      <c r="BZ247" s="1"/>
      <c r="CA247" s="1"/>
      <c r="CB247" s="1"/>
      <c r="CC247" s="1"/>
      <c r="CD247" s="1"/>
      <c r="CE247" s="1"/>
    </row>
    <row r="248" spans="1:84" x14ac:dyDescent="0.25">
      <c r="A248" s="1">
        <v>7</v>
      </c>
      <c r="B248" s="4"/>
      <c r="C248" s="4"/>
      <c r="D248" s="4"/>
      <c r="E248" s="92"/>
      <c r="F248" s="4"/>
      <c r="G248" s="4"/>
      <c r="H248" s="81"/>
      <c r="I248" s="6" t="s">
        <v>239</v>
      </c>
      <c r="J248" s="6" t="s">
        <v>243</v>
      </c>
      <c r="K248" s="95"/>
      <c r="L248" s="4"/>
      <c r="M248" s="4"/>
      <c r="N248" s="81"/>
      <c r="O248" s="6" t="s">
        <v>239</v>
      </c>
      <c r="P248" s="6" t="s">
        <v>243</v>
      </c>
      <c r="Q248" s="78"/>
      <c r="R248" s="4"/>
      <c r="S248" s="4"/>
      <c r="T248" s="81"/>
      <c r="U248" s="6" t="s">
        <v>239</v>
      </c>
      <c r="V248" s="6"/>
      <c r="W248" s="78"/>
      <c r="X248" s="4"/>
      <c r="Y248" s="4"/>
      <c r="Z248" s="81"/>
      <c r="AA248" s="6" t="s">
        <v>239</v>
      </c>
      <c r="AB248" s="6"/>
      <c r="AC248" s="78"/>
      <c r="AD248" s="4"/>
      <c r="AE248" s="4"/>
      <c r="AF248" s="78"/>
      <c r="AG248" s="6" t="s">
        <v>239</v>
      </c>
      <c r="AH248" s="6"/>
      <c r="AI248" s="78"/>
      <c r="AJ248" s="4"/>
      <c r="AK248" s="4"/>
      <c r="AL248" s="81"/>
      <c r="AM248" s="6" t="s">
        <v>239</v>
      </c>
      <c r="AN248" s="6"/>
      <c r="AO248" s="78"/>
      <c r="AP248" s="4"/>
      <c r="AQ248" s="4"/>
      <c r="AR248" s="81"/>
      <c r="AS248" s="6" t="s">
        <v>239</v>
      </c>
      <c r="AT248" s="6"/>
      <c r="AU248" s="78"/>
      <c r="AV248" s="4"/>
      <c r="AW248" s="4"/>
      <c r="AX248" s="81"/>
      <c r="AY248" s="6" t="s">
        <v>239</v>
      </c>
      <c r="AZ248" s="6"/>
      <c r="BA248" s="78"/>
      <c r="BB248" s="4"/>
      <c r="BC248" s="4"/>
      <c r="BD248" s="81"/>
      <c r="BE248" s="6" t="s">
        <v>239</v>
      </c>
      <c r="BF248" s="6"/>
      <c r="BG248" s="78"/>
      <c r="BH248" s="4"/>
      <c r="BI248" s="4"/>
      <c r="BJ248" s="81"/>
      <c r="BK248" s="6" t="s">
        <v>239</v>
      </c>
      <c r="BL248" s="6"/>
      <c r="BM248" s="78"/>
      <c r="BN248" s="4"/>
      <c r="BO248" s="4"/>
      <c r="BP248" s="81"/>
      <c r="BQ248" s="6" t="s">
        <v>239</v>
      </c>
      <c r="BR248" s="6"/>
      <c r="BS248" s="78"/>
      <c r="BT248" s="4"/>
      <c r="BU248" s="4"/>
      <c r="BV248" s="81"/>
      <c r="BW248" s="6" t="s">
        <v>239</v>
      </c>
      <c r="BX248" s="6"/>
      <c r="BY248" s="78"/>
      <c r="BZ248" s="1"/>
      <c r="CA248" s="1"/>
      <c r="CB248" s="1"/>
      <c r="CC248" s="1"/>
      <c r="CD248" s="1"/>
      <c r="CE248" s="1"/>
    </row>
    <row r="249" spans="1:84" x14ac:dyDescent="0.25">
      <c r="A249" s="1">
        <v>8</v>
      </c>
      <c r="B249" s="4"/>
      <c r="C249" s="4"/>
      <c r="D249" s="4"/>
      <c r="E249" s="92"/>
      <c r="F249" s="4"/>
      <c r="G249" s="4"/>
      <c r="H249" s="81"/>
      <c r="I249" s="4"/>
      <c r="J249" s="4"/>
      <c r="K249" s="95"/>
      <c r="L249" s="4"/>
      <c r="M249" s="4"/>
      <c r="N249" s="81"/>
      <c r="O249" s="4"/>
      <c r="P249" s="4"/>
      <c r="Q249" s="78"/>
      <c r="R249" s="4"/>
      <c r="S249" s="4"/>
      <c r="T249" s="81"/>
      <c r="U249" s="4"/>
      <c r="V249" s="4"/>
      <c r="W249" s="78"/>
      <c r="X249" s="4"/>
      <c r="Y249" s="4"/>
      <c r="Z249" s="81"/>
      <c r="AA249" s="4"/>
      <c r="AB249" s="4" t="s">
        <v>221</v>
      </c>
      <c r="AC249" s="78"/>
      <c r="AD249" s="4"/>
      <c r="AE249" s="4"/>
      <c r="AF249" s="78"/>
      <c r="AG249" s="4"/>
      <c r="AH249" s="4"/>
      <c r="AI249" s="78"/>
      <c r="AJ249" s="4"/>
      <c r="AK249" s="4"/>
      <c r="AL249" s="81"/>
      <c r="AM249" s="4"/>
      <c r="AN249" s="4"/>
      <c r="AO249" s="78"/>
      <c r="AP249" s="4"/>
      <c r="AQ249" s="4"/>
      <c r="AR249" s="81"/>
      <c r="AS249" s="4"/>
      <c r="AT249" s="4"/>
      <c r="AU249" s="78"/>
      <c r="AV249" s="4"/>
      <c r="AW249" s="4"/>
      <c r="AX249" s="81"/>
      <c r="AY249" s="4"/>
      <c r="AZ249" s="4"/>
      <c r="BA249" s="78"/>
      <c r="BB249" s="4"/>
      <c r="BC249" s="4"/>
      <c r="BD249" s="81"/>
      <c r="BE249" s="4"/>
      <c r="BF249" s="4"/>
      <c r="BG249" s="78"/>
      <c r="BH249" s="4"/>
      <c r="BI249" s="4"/>
      <c r="BJ249" s="81"/>
      <c r="BK249" s="4"/>
      <c r="BL249" s="4"/>
      <c r="BM249" s="78"/>
      <c r="BN249" s="4"/>
      <c r="BO249" s="4"/>
      <c r="BP249" s="81"/>
      <c r="BQ249" s="4"/>
      <c r="BR249" s="4"/>
      <c r="BS249" s="78"/>
      <c r="BT249" s="4"/>
      <c r="BU249" s="4"/>
      <c r="BV249" s="81"/>
      <c r="BW249" s="4"/>
      <c r="BX249" s="4"/>
      <c r="BY249" s="78"/>
      <c r="BZ249" s="1"/>
      <c r="CA249" s="1"/>
      <c r="CB249" s="1"/>
      <c r="CC249" s="1"/>
      <c r="CD249" s="1"/>
      <c r="CE249" s="1"/>
    </row>
    <row r="250" spans="1:84" x14ac:dyDescent="0.25">
      <c r="A250" s="1">
        <v>9</v>
      </c>
      <c r="B250" s="4"/>
      <c r="C250" s="4"/>
      <c r="D250" s="4"/>
      <c r="E250" s="92"/>
      <c r="F250" s="4"/>
      <c r="G250" s="4"/>
      <c r="H250" s="81"/>
      <c r="I250" s="4"/>
      <c r="J250" s="4"/>
      <c r="K250" s="95"/>
      <c r="L250" s="4"/>
      <c r="M250" s="4"/>
      <c r="N250" s="81"/>
      <c r="O250" s="4"/>
      <c r="P250" s="4"/>
      <c r="Q250" s="78"/>
      <c r="R250" s="4"/>
      <c r="S250" s="4"/>
      <c r="T250" s="81"/>
      <c r="U250" s="4"/>
      <c r="V250" s="4"/>
      <c r="W250" s="78"/>
      <c r="X250" s="4"/>
      <c r="Y250" s="4"/>
      <c r="Z250" s="81"/>
      <c r="AA250" s="4"/>
      <c r="AB250" s="4" t="s">
        <v>221</v>
      </c>
      <c r="AC250" s="78"/>
      <c r="AD250" s="4"/>
      <c r="AE250" s="4"/>
      <c r="AF250" s="78"/>
      <c r="AG250" s="4"/>
      <c r="AH250" s="4"/>
      <c r="AI250" s="78"/>
      <c r="AJ250" s="4"/>
      <c r="AK250" s="4"/>
      <c r="AL250" s="81"/>
      <c r="AM250" s="4"/>
      <c r="AN250" s="4"/>
      <c r="AO250" s="78"/>
      <c r="AP250" s="4"/>
      <c r="AQ250" s="4"/>
      <c r="AR250" s="81"/>
      <c r="AS250" s="4"/>
      <c r="AT250" s="4"/>
      <c r="AU250" s="78"/>
      <c r="AV250" s="4"/>
      <c r="AW250" s="4"/>
      <c r="AX250" s="81"/>
      <c r="AY250" s="4"/>
      <c r="AZ250" s="4"/>
      <c r="BA250" s="78"/>
      <c r="BB250" s="4"/>
      <c r="BC250" s="4"/>
      <c r="BD250" s="81"/>
      <c r="BE250" s="4"/>
      <c r="BF250" s="4"/>
      <c r="BG250" s="78"/>
      <c r="BH250" s="4"/>
      <c r="BI250" s="4"/>
      <c r="BJ250" s="81"/>
      <c r="BK250" s="4"/>
      <c r="BL250" s="4"/>
      <c r="BM250" s="78"/>
      <c r="BN250" s="4"/>
      <c r="BO250" s="4"/>
      <c r="BP250" s="81"/>
      <c r="BQ250" s="4"/>
      <c r="BR250" s="4"/>
      <c r="BS250" s="78"/>
      <c r="BT250" s="4"/>
      <c r="BU250" s="4"/>
      <c r="BV250" s="81"/>
      <c r="BW250" s="4"/>
      <c r="BX250" s="4"/>
      <c r="BY250" s="78"/>
      <c r="BZ250" s="1"/>
      <c r="CA250" s="1"/>
      <c r="CB250" s="1"/>
      <c r="CC250" s="1"/>
      <c r="CD250" s="1"/>
      <c r="CE250" s="1"/>
    </row>
    <row r="251" spans="1:84" x14ac:dyDescent="0.25">
      <c r="A251" s="1">
        <v>10</v>
      </c>
      <c r="B251" s="4"/>
      <c r="C251" s="4"/>
      <c r="D251" s="4"/>
      <c r="E251" s="92"/>
      <c r="F251" s="4"/>
      <c r="G251" s="4"/>
      <c r="H251" s="81"/>
      <c r="I251" s="4"/>
      <c r="J251" s="4"/>
      <c r="K251" s="95"/>
      <c r="L251" s="4"/>
      <c r="M251" s="4"/>
      <c r="N251" s="81"/>
      <c r="O251" s="4"/>
      <c r="P251" s="4"/>
      <c r="Q251" s="78"/>
      <c r="R251" s="4"/>
      <c r="S251" s="4"/>
      <c r="T251" s="81"/>
      <c r="U251" s="4"/>
      <c r="V251" s="4"/>
      <c r="W251" s="78"/>
      <c r="X251" s="4"/>
      <c r="Y251" s="4"/>
      <c r="Z251" s="81"/>
      <c r="AA251" s="4"/>
      <c r="AB251" s="4" t="s">
        <v>221</v>
      </c>
      <c r="AC251" s="78"/>
      <c r="AD251" s="4"/>
      <c r="AE251" s="4"/>
      <c r="AF251" s="78"/>
      <c r="AG251" s="4"/>
      <c r="AH251" s="4"/>
      <c r="AI251" s="78"/>
      <c r="AJ251" s="4"/>
      <c r="AK251" s="4"/>
      <c r="AL251" s="81"/>
      <c r="AM251" s="4"/>
      <c r="AN251" s="4"/>
      <c r="AO251" s="78"/>
      <c r="AP251" s="4"/>
      <c r="AQ251" s="4"/>
      <c r="AR251" s="81"/>
      <c r="AS251" s="4"/>
      <c r="AT251" s="4"/>
      <c r="AU251" s="78"/>
      <c r="AV251" s="4"/>
      <c r="AW251" s="4"/>
      <c r="AX251" s="81"/>
      <c r="AY251" s="4"/>
      <c r="AZ251" s="4"/>
      <c r="BA251" s="78"/>
      <c r="BB251" s="4"/>
      <c r="BC251" s="4"/>
      <c r="BD251" s="81"/>
      <c r="BE251" s="4"/>
      <c r="BF251" s="4"/>
      <c r="BG251" s="78"/>
      <c r="BH251" s="4"/>
      <c r="BI251" s="4"/>
      <c r="BJ251" s="81"/>
      <c r="BK251" s="4"/>
      <c r="BL251" s="4"/>
      <c r="BM251" s="78"/>
      <c r="BN251" s="4"/>
      <c r="BO251" s="4"/>
      <c r="BP251" s="81"/>
      <c r="BQ251" s="4"/>
      <c r="BR251" s="4"/>
      <c r="BS251" s="78"/>
      <c r="BT251" s="4"/>
      <c r="BU251" s="4"/>
      <c r="BV251" s="81"/>
      <c r="BW251" s="4"/>
      <c r="BX251" s="4"/>
      <c r="BY251" s="78"/>
      <c r="BZ251" s="1"/>
      <c r="CA251" s="1"/>
      <c r="CB251" s="1"/>
      <c r="CC251" s="1"/>
      <c r="CD251" s="1"/>
      <c r="CE251" s="1"/>
    </row>
    <row r="252" spans="1:84" x14ac:dyDescent="0.25">
      <c r="A252" s="1">
        <v>11</v>
      </c>
      <c r="B252" s="4"/>
      <c r="C252" s="4"/>
      <c r="D252" s="4"/>
      <c r="E252" s="92"/>
      <c r="F252" s="4"/>
      <c r="G252" s="4"/>
      <c r="H252" s="81"/>
      <c r="I252" s="4"/>
      <c r="J252" s="4"/>
      <c r="K252" s="95"/>
      <c r="L252" s="4"/>
      <c r="M252" s="4"/>
      <c r="N252" s="81"/>
      <c r="O252" s="4"/>
      <c r="P252" s="4"/>
      <c r="Q252" s="78"/>
      <c r="R252" s="4"/>
      <c r="S252" s="4"/>
      <c r="T252" s="81"/>
      <c r="U252" s="4"/>
      <c r="V252" s="4"/>
      <c r="W252" s="78"/>
      <c r="X252" s="4"/>
      <c r="Y252" s="4"/>
      <c r="Z252" s="81"/>
      <c r="AA252" s="4"/>
      <c r="AB252" s="4" t="s">
        <v>221</v>
      </c>
      <c r="AC252" s="78"/>
      <c r="AD252" s="4"/>
      <c r="AE252" s="4"/>
      <c r="AF252" s="78"/>
      <c r="AG252" s="4"/>
      <c r="AH252" s="4"/>
      <c r="AI252" s="78"/>
      <c r="AJ252" s="4"/>
      <c r="AK252" s="4"/>
      <c r="AL252" s="81"/>
      <c r="AM252" s="4"/>
      <c r="AN252" s="4"/>
      <c r="AO252" s="78"/>
      <c r="AP252" s="4"/>
      <c r="AQ252" s="4"/>
      <c r="AR252" s="81"/>
      <c r="AS252" s="4"/>
      <c r="AT252" s="4"/>
      <c r="AU252" s="78"/>
      <c r="AV252" s="4"/>
      <c r="AW252" s="4"/>
      <c r="AX252" s="81"/>
      <c r="AY252" s="4"/>
      <c r="AZ252" s="4"/>
      <c r="BA252" s="78"/>
      <c r="BB252" s="4"/>
      <c r="BC252" s="4"/>
      <c r="BD252" s="81"/>
      <c r="BE252" s="4"/>
      <c r="BF252" s="4"/>
      <c r="BG252" s="78"/>
      <c r="BH252" s="4"/>
      <c r="BI252" s="4"/>
      <c r="BJ252" s="81"/>
      <c r="BK252" s="4"/>
      <c r="BL252" s="4"/>
      <c r="BM252" s="78"/>
      <c r="BN252" s="4"/>
      <c r="BO252" s="4"/>
      <c r="BP252" s="81"/>
      <c r="BQ252" s="4"/>
      <c r="BR252" s="4"/>
      <c r="BS252" s="78"/>
      <c r="BT252" s="4"/>
      <c r="BU252" s="4"/>
      <c r="BV252" s="81"/>
      <c r="BW252" s="4"/>
      <c r="BX252" s="4"/>
      <c r="BY252" s="78"/>
      <c r="BZ252" s="1"/>
      <c r="CA252" s="1"/>
      <c r="CB252" s="1"/>
      <c r="CC252" s="1"/>
      <c r="CD252" s="1"/>
      <c r="CE252" s="1"/>
    </row>
    <row r="253" spans="1:84" x14ac:dyDescent="0.25">
      <c r="A253" s="1">
        <v>12</v>
      </c>
      <c r="B253" s="4"/>
      <c r="C253" s="4"/>
      <c r="D253" s="4"/>
      <c r="E253" s="92"/>
      <c r="F253" s="4"/>
      <c r="G253" s="4"/>
      <c r="H253" s="81"/>
      <c r="I253" s="4"/>
      <c r="J253" s="4"/>
      <c r="K253" s="95"/>
      <c r="L253" s="4"/>
      <c r="M253" s="4"/>
      <c r="N253" s="81"/>
      <c r="O253" s="4"/>
      <c r="P253" s="4"/>
      <c r="Q253" s="78"/>
      <c r="R253" s="4"/>
      <c r="S253" s="4"/>
      <c r="T253" s="81"/>
      <c r="U253" s="4"/>
      <c r="V253" s="4"/>
      <c r="W253" s="78"/>
      <c r="X253" s="4"/>
      <c r="Y253" s="4"/>
      <c r="Z253" s="81"/>
      <c r="AA253" s="4"/>
      <c r="AB253" s="4"/>
      <c r="AC253" s="78"/>
      <c r="AD253" s="4"/>
      <c r="AE253" s="4"/>
      <c r="AF253" s="78"/>
      <c r="AG253" s="4"/>
      <c r="AH253" s="4"/>
      <c r="AI253" s="78"/>
      <c r="AJ253" s="4"/>
      <c r="AK253" s="4"/>
      <c r="AL253" s="81"/>
      <c r="AM253" s="4"/>
      <c r="AN253" s="4"/>
      <c r="AO253" s="78"/>
      <c r="AP253" s="4"/>
      <c r="AQ253" s="4"/>
      <c r="AR253" s="81"/>
      <c r="AS253" s="4"/>
      <c r="AT253" s="4"/>
      <c r="AU253" s="78"/>
      <c r="AV253" s="4"/>
      <c r="AW253" s="4"/>
      <c r="AX253" s="81"/>
      <c r="AY253" s="4"/>
      <c r="AZ253" s="4"/>
      <c r="BA253" s="78"/>
      <c r="BB253" s="4"/>
      <c r="BC253" s="4"/>
      <c r="BD253" s="81"/>
      <c r="BE253" s="4"/>
      <c r="BF253" s="4"/>
      <c r="BG253" s="78"/>
      <c r="BH253" s="4"/>
      <c r="BI253" s="4"/>
      <c r="BJ253" s="81"/>
      <c r="BK253" s="4"/>
      <c r="BL253" s="4"/>
      <c r="BM253" s="78"/>
      <c r="BN253" s="4"/>
      <c r="BO253" s="4"/>
      <c r="BP253" s="81"/>
      <c r="BQ253" s="4"/>
      <c r="BR253" s="4"/>
      <c r="BS253" s="78"/>
      <c r="BT253" s="4"/>
      <c r="BU253" s="4"/>
      <c r="BV253" s="81"/>
      <c r="BW253" s="4"/>
      <c r="BX253" s="4"/>
      <c r="BY253" s="78"/>
      <c r="BZ253" s="1"/>
      <c r="CA253" s="1"/>
      <c r="CB253" s="1"/>
      <c r="CC253" s="1"/>
      <c r="CD253" s="1"/>
      <c r="CE253" s="1"/>
    </row>
    <row r="254" spans="1:84" x14ac:dyDescent="0.25">
      <c r="A254" s="1"/>
      <c r="B254" s="1"/>
      <c r="C254" s="1"/>
      <c r="D254" s="1"/>
      <c r="E254" s="92"/>
      <c r="F254" s="4"/>
      <c r="G254" s="4"/>
      <c r="H254" s="81"/>
      <c r="I254" s="4"/>
      <c r="J254" s="4"/>
      <c r="K254" s="95"/>
      <c r="L254" s="4"/>
      <c r="M254" s="4"/>
      <c r="N254" s="81"/>
      <c r="O254" s="4"/>
      <c r="P254" s="4"/>
      <c r="Q254" s="78"/>
      <c r="R254" s="4"/>
      <c r="S254" s="4"/>
      <c r="T254" s="81"/>
      <c r="U254" s="4"/>
      <c r="V254" s="4"/>
      <c r="W254" s="78"/>
      <c r="X254" s="4"/>
      <c r="Y254" s="4"/>
      <c r="Z254" s="81"/>
      <c r="AA254" s="4"/>
      <c r="AB254" s="4"/>
      <c r="AC254" s="78"/>
      <c r="AD254" s="4"/>
      <c r="AE254" s="4"/>
      <c r="AF254" s="78"/>
      <c r="AG254" s="4"/>
      <c r="AH254" s="4"/>
      <c r="AI254" s="78"/>
      <c r="AJ254" s="4"/>
      <c r="AK254" s="4"/>
      <c r="AL254" s="81"/>
      <c r="AM254" s="4"/>
      <c r="AN254" s="4"/>
      <c r="AO254" s="78"/>
      <c r="AP254" s="4"/>
      <c r="AQ254" s="4"/>
      <c r="AR254" s="81"/>
      <c r="AS254" s="4"/>
      <c r="AT254" s="4"/>
      <c r="AU254" s="78"/>
      <c r="AV254" s="4"/>
      <c r="AW254" s="4"/>
      <c r="AX254" s="81"/>
      <c r="AY254" s="4"/>
      <c r="AZ254" s="4"/>
      <c r="BA254" s="78"/>
      <c r="BB254" s="4"/>
      <c r="BC254" s="4"/>
      <c r="BD254" s="81"/>
      <c r="BE254" s="4"/>
      <c r="BF254" s="4"/>
      <c r="BG254" s="78"/>
      <c r="BH254" s="4"/>
      <c r="BI254" s="4"/>
      <c r="BJ254" s="81"/>
      <c r="BK254" s="4"/>
      <c r="BL254" s="4"/>
      <c r="BM254" s="78"/>
      <c r="BN254" s="4"/>
      <c r="BO254" s="4"/>
      <c r="BP254" s="81"/>
      <c r="BQ254" s="4"/>
      <c r="BR254" s="4"/>
      <c r="BS254" s="78"/>
      <c r="BT254" s="4"/>
      <c r="BU254" s="4"/>
      <c r="BV254" s="81"/>
      <c r="BW254" s="4"/>
      <c r="BX254" s="4"/>
      <c r="BY254" s="78"/>
      <c r="BZ254" s="1"/>
      <c r="CA254" s="1"/>
      <c r="CB254" s="1"/>
      <c r="CC254" s="1"/>
      <c r="CD254" s="1"/>
      <c r="CE254" s="1"/>
    </row>
    <row r="255" spans="1:84" x14ac:dyDescent="0.25">
      <c r="F255" s="4"/>
      <c r="G255" s="4"/>
      <c r="H255" s="81"/>
      <c r="I255" s="4"/>
      <c r="J255" s="4"/>
      <c r="K255" s="95"/>
      <c r="L255" s="4"/>
      <c r="M255" s="4"/>
      <c r="N255" s="81"/>
      <c r="O255" s="4"/>
      <c r="P255" s="4"/>
      <c r="Q255" s="78"/>
      <c r="R255" s="4"/>
      <c r="S255" s="4"/>
      <c r="T255" s="81"/>
      <c r="U255" s="4"/>
      <c r="V255" s="4"/>
      <c r="W255" s="78"/>
      <c r="X255" s="4"/>
      <c r="Y255" s="4"/>
      <c r="Z255" s="81"/>
      <c r="AA255" s="4"/>
      <c r="AB255" s="4"/>
      <c r="AC255" s="78"/>
      <c r="AD255" s="4"/>
      <c r="AE255" s="4"/>
      <c r="AF255" s="78"/>
      <c r="AG255" s="4"/>
      <c r="AH255" s="4"/>
      <c r="AI255" s="78"/>
      <c r="AJ255" s="4"/>
      <c r="AK255" s="4"/>
      <c r="AL255" s="81"/>
      <c r="AM255" s="4"/>
      <c r="AN255" s="4"/>
      <c r="AO255" s="78"/>
      <c r="AP255" s="4"/>
      <c r="AQ255" s="4"/>
      <c r="AR255" s="81"/>
      <c r="AS255" s="4"/>
      <c r="AT255" s="4"/>
      <c r="AU255" s="78"/>
      <c r="AV255" s="4"/>
      <c r="AW255" s="4"/>
      <c r="AX255" s="81"/>
      <c r="AY255" s="4"/>
      <c r="AZ255" s="4"/>
      <c r="BA255" s="78"/>
      <c r="BB255" s="4"/>
      <c r="BC255" s="4"/>
      <c r="BD255" s="81"/>
      <c r="BE255" s="4"/>
      <c r="BF255" s="4"/>
      <c r="BG255" s="78"/>
      <c r="BH255" s="4"/>
      <c r="BI255" s="4"/>
      <c r="BJ255" s="81"/>
      <c r="BK255" s="4"/>
      <c r="BL255" s="4"/>
      <c r="BM255" s="78"/>
      <c r="BN255" s="4"/>
      <c r="BO255" s="4"/>
      <c r="BP255" s="81"/>
      <c r="BQ255" s="4"/>
      <c r="BR255" s="4"/>
      <c r="BS255" s="78"/>
      <c r="BT255" s="4"/>
      <c r="BU255" s="4"/>
      <c r="BV255" s="81"/>
      <c r="BW255" s="4"/>
      <c r="BX255" s="4"/>
      <c r="BY255" s="78"/>
      <c r="BZ255" s="1"/>
      <c r="CA255" s="1"/>
      <c r="CB255" s="1"/>
      <c r="CC255" s="1"/>
      <c r="CD255" s="1"/>
      <c r="CE255" s="1"/>
    </row>
    <row r="256" spans="1:84" x14ac:dyDescent="0.25">
      <c r="F256" s="4"/>
      <c r="G256" s="4"/>
      <c r="H256" s="81"/>
      <c r="I256" s="4"/>
      <c r="J256" s="4"/>
      <c r="K256" s="95"/>
      <c r="L256" s="4"/>
      <c r="M256" s="4"/>
      <c r="N256" s="81"/>
      <c r="O256" s="4"/>
      <c r="P256" s="4"/>
      <c r="Q256" s="78"/>
      <c r="R256" s="4"/>
      <c r="S256" s="4"/>
      <c r="T256" s="81"/>
      <c r="U256" s="4"/>
      <c r="V256" s="4"/>
      <c r="W256" s="78"/>
      <c r="X256" s="4"/>
      <c r="Y256" s="4"/>
      <c r="Z256" s="81"/>
      <c r="AA256" s="4"/>
      <c r="AB256" s="4"/>
      <c r="AC256" s="78"/>
      <c r="AD256" s="4"/>
      <c r="AE256" s="4"/>
      <c r="AF256" s="78"/>
      <c r="AG256" s="4"/>
      <c r="AH256" s="4"/>
      <c r="AI256" s="78"/>
      <c r="AJ256" s="4"/>
      <c r="AK256" s="4"/>
      <c r="AL256" s="81"/>
      <c r="AM256" s="4"/>
      <c r="AN256" s="4"/>
      <c r="AO256" s="78"/>
      <c r="AP256" s="4"/>
      <c r="AQ256" s="4"/>
      <c r="AR256" s="81"/>
      <c r="AS256" s="4"/>
      <c r="AT256" s="4"/>
      <c r="AU256" s="78"/>
      <c r="AV256" s="4"/>
      <c r="AW256" s="4"/>
      <c r="AX256" s="81"/>
      <c r="AY256" s="4"/>
      <c r="AZ256" s="4"/>
      <c r="BA256" s="78"/>
      <c r="BB256" s="4"/>
      <c r="BC256" s="4"/>
      <c r="BD256" s="81"/>
      <c r="BE256" s="4"/>
      <c r="BF256" s="4"/>
      <c r="BG256" s="78"/>
      <c r="BH256" s="4"/>
      <c r="BI256" s="4"/>
      <c r="BJ256" s="81"/>
      <c r="BK256" s="4"/>
      <c r="BL256" s="4"/>
      <c r="BM256" s="78"/>
      <c r="BN256" s="4"/>
      <c r="BO256" s="4"/>
      <c r="BP256" s="81"/>
      <c r="BQ256" s="4"/>
      <c r="BR256" s="4"/>
      <c r="BS256" s="78"/>
      <c r="BT256" s="4"/>
      <c r="BU256" s="4"/>
      <c r="BV256" s="81"/>
      <c r="BW256" s="4"/>
      <c r="BX256" s="4"/>
      <c r="BY256" s="78"/>
      <c r="BZ256" s="1"/>
      <c r="CA256" s="1"/>
      <c r="CB256" s="1"/>
      <c r="CC256" s="1"/>
      <c r="CD256" s="1"/>
      <c r="CE256" s="1"/>
    </row>
    <row r="257" spans="6:77" x14ac:dyDescent="0.25">
      <c r="F257" s="4"/>
      <c r="G257" s="4"/>
      <c r="H257" s="81"/>
      <c r="I257" s="4"/>
      <c r="J257" s="4"/>
      <c r="K257" s="95"/>
      <c r="L257" s="4"/>
      <c r="M257" s="4"/>
      <c r="N257" s="81"/>
      <c r="O257" s="4"/>
      <c r="P257" s="4"/>
      <c r="Q257" s="78"/>
      <c r="R257" s="4"/>
      <c r="S257" s="4"/>
      <c r="T257" s="81"/>
      <c r="U257" s="4"/>
      <c r="V257" s="4"/>
      <c r="W257" s="78"/>
      <c r="X257" s="4"/>
      <c r="Y257" s="4"/>
      <c r="Z257" s="81"/>
      <c r="AA257" s="4"/>
      <c r="AB257" s="4"/>
      <c r="AC257" s="78"/>
      <c r="AD257" s="4"/>
      <c r="AE257" s="4"/>
      <c r="AF257" s="78"/>
      <c r="AG257" s="4"/>
      <c r="AH257" s="4"/>
      <c r="AI257" s="78"/>
      <c r="AJ257" s="4"/>
      <c r="AK257" s="4"/>
      <c r="AL257" s="81"/>
      <c r="AM257" s="4"/>
      <c r="AN257" s="4"/>
      <c r="AO257" s="78"/>
      <c r="AP257" s="4"/>
      <c r="AQ257" s="4"/>
      <c r="AR257" s="81"/>
      <c r="AS257" s="4"/>
      <c r="AT257" s="4"/>
      <c r="AU257" s="78"/>
      <c r="AV257" s="4"/>
      <c r="AW257" s="4"/>
      <c r="AX257" s="81"/>
      <c r="AY257" s="4"/>
      <c r="AZ257" s="4"/>
      <c r="BA257" s="78"/>
      <c r="BB257" s="4"/>
      <c r="BC257" s="4"/>
      <c r="BD257" s="81"/>
      <c r="BE257" s="4"/>
      <c r="BF257" s="4"/>
      <c r="BG257" s="78"/>
      <c r="BH257" s="4"/>
      <c r="BI257" s="4"/>
      <c r="BJ257" s="81"/>
      <c r="BK257" s="4"/>
      <c r="BL257" s="4"/>
      <c r="BM257" s="78"/>
      <c r="BN257" s="4"/>
      <c r="BO257" s="4"/>
      <c r="BP257" s="81"/>
      <c r="BQ257" s="4"/>
      <c r="BR257" s="4"/>
      <c r="BS257" s="78"/>
      <c r="BT257" s="4"/>
      <c r="BU257" s="4"/>
      <c r="BV257" s="81"/>
      <c r="BW257" s="4"/>
      <c r="BX257" s="4"/>
      <c r="BY257" s="78"/>
    </row>
    <row r="258" spans="6:77" x14ac:dyDescent="0.25">
      <c r="F258" s="4"/>
      <c r="G258" s="4"/>
      <c r="H258" s="81"/>
      <c r="K258" s="95"/>
      <c r="L258" s="4"/>
      <c r="M258" s="4"/>
      <c r="N258" s="81"/>
      <c r="Q258" s="78"/>
      <c r="R258" s="4"/>
      <c r="S258" s="4"/>
      <c r="T258" s="81"/>
      <c r="W258" s="78"/>
      <c r="X258" s="4"/>
      <c r="Y258" s="4"/>
      <c r="Z258" s="81"/>
      <c r="AC258" s="78"/>
      <c r="AD258" s="4"/>
      <c r="AE258" s="4"/>
      <c r="AF258" s="78"/>
      <c r="AI258" s="78"/>
      <c r="AJ258" s="4"/>
      <c r="AK258" s="4"/>
      <c r="AL258" s="81"/>
      <c r="AO258" s="78"/>
      <c r="AP258" s="4"/>
      <c r="AQ258" s="4"/>
      <c r="AR258" s="81"/>
      <c r="AU258" s="78"/>
      <c r="AV258" s="4"/>
      <c r="AW258" s="4"/>
      <c r="AX258" s="81"/>
      <c r="BA258" s="78"/>
      <c r="BB258" s="4"/>
      <c r="BC258" s="4"/>
      <c r="BD258" s="81"/>
      <c r="BG258" s="78"/>
      <c r="BH258" s="4"/>
      <c r="BI258" s="4"/>
      <c r="BJ258" s="81"/>
      <c r="BM258" s="78"/>
      <c r="BN258" s="4"/>
      <c r="BO258" s="4"/>
      <c r="BP258" s="81"/>
      <c r="BS258" s="78"/>
      <c r="BT258" s="4"/>
      <c r="BU258" s="4"/>
      <c r="BV258" s="81"/>
      <c r="BY258" s="78"/>
    </row>
    <row r="259" spans="6:77" x14ac:dyDescent="0.25">
      <c r="F259" s="4"/>
      <c r="G259" s="4"/>
      <c r="H259" s="81"/>
      <c r="K259" s="95"/>
      <c r="L259" s="4"/>
      <c r="M259" s="4"/>
      <c r="N259" s="81"/>
      <c r="Q259" s="78"/>
      <c r="R259" s="4"/>
      <c r="S259" s="4"/>
      <c r="T259" s="81"/>
      <c r="W259" s="78"/>
      <c r="X259" s="4"/>
      <c r="Y259" s="4"/>
      <c r="Z259" s="81"/>
      <c r="AC259" s="78"/>
      <c r="AD259" s="4"/>
      <c r="AE259" s="4"/>
      <c r="AF259" s="78"/>
      <c r="AI259" s="78"/>
      <c r="AJ259" s="4"/>
      <c r="AK259" s="4"/>
      <c r="AL259" s="81"/>
      <c r="AO259" s="78"/>
      <c r="AP259" s="4"/>
      <c r="AQ259" s="4"/>
      <c r="AR259" s="81"/>
      <c r="AU259" s="78"/>
      <c r="AV259" s="4"/>
      <c r="AW259" s="4"/>
      <c r="AX259" s="81"/>
      <c r="BA259" s="78"/>
      <c r="BB259" s="4"/>
      <c r="BC259" s="4"/>
      <c r="BD259" s="81"/>
      <c r="BG259" s="78"/>
      <c r="BH259" s="4"/>
      <c r="BI259" s="4"/>
      <c r="BJ259" s="81"/>
      <c r="BM259" s="78"/>
      <c r="BN259" s="4"/>
      <c r="BO259" s="4"/>
      <c r="BP259" s="81"/>
      <c r="BS259" s="78"/>
      <c r="BT259" s="4"/>
      <c r="BU259" s="4"/>
      <c r="BV259" s="81"/>
      <c r="BY259" s="78"/>
    </row>
    <row r="260" spans="6:77" x14ac:dyDescent="0.25">
      <c r="F260" s="4"/>
      <c r="G260" s="4"/>
      <c r="H260" s="81"/>
      <c r="K260" s="95"/>
      <c r="L260" s="4"/>
      <c r="M260" s="4"/>
      <c r="N260" s="81"/>
      <c r="Q260" s="78"/>
      <c r="R260" s="4"/>
      <c r="S260" s="4"/>
      <c r="T260" s="81"/>
      <c r="W260" s="78"/>
      <c r="X260" s="4"/>
      <c r="Y260" s="4"/>
      <c r="Z260" s="81"/>
      <c r="AC260" s="78"/>
      <c r="AD260" s="4"/>
      <c r="AE260" s="4"/>
      <c r="AF260" s="78"/>
      <c r="AI260" s="78"/>
      <c r="AJ260" s="4"/>
      <c r="AK260" s="4"/>
      <c r="AL260" s="81"/>
      <c r="AO260" s="78"/>
      <c r="AP260" s="4"/>
      <c r="AQ260" s="4"/>
      <c r="AR260" s="81"/>
      <c r="AU260" s="78"/>
      <c r="AV260" s="4"/>
      <c r="AW260" s="4"/>
      <c r="AX260" s="81"/>
      <c r="BA260" s="78"/>
      <c r="BB260" s="4"/>
      <c r="BC260" s="4"/>
      <c r="BD260" s="81"/>
      <c r="BG260" s="78"/>
      <c r="BH260" s="4"/>
      <c r="BI260" s="4"/>
      <c r="BJ260" s="81"/>
      <c r="BM260" s="78"/>
      <c r="BN260" s="4"/>
      <c r="BO260" s="4"/>
      <c r="BP260" s="81"/>
      <c r="BS260" s="78"/>
      <c r="BT260" s="4"/>
      <c r="BU260" s="4"/>
      <c r="BV260" s="81"/>
      <c r="BY260" s="78"/>
    </row>
    <row r="261" spans="6:77" x14ac:dyDescent="0.25">
      <c r="F261" s="4"/>
      <c r="G261" s="4"/>
      <c r="H261" s="81"/>
      <c r="I261" s="6" t="s">
        <v>240</v>
      </c>
      <c r="J261" s="6"/>
      <c r="K261" s="95"/>
      <c r="L261" s="4"/>
      <c r="M261" s="4"/>
      <c r="N261" s="81"/>
      <c r="O261" s="6" t="s">
        <v>240</v>
      </c>
      <c r="P261" s="6"/>
      <c r="Q261" s="78"/>
      <c r="R261" s="4"/>
      <c r="S261" s="4"/>
      <c r="T261" s="81"/>
      <c r="U261" s="6" t="s">
        <v>240</v>
      </c>
      <c r="V261" s="6"/>
      <c r="W261" s="78"/>
      <c r="X261" s="4"/>
      <c r="Y261" s="4"/>
      <c r="Z261" s="81"/>
      <c r="AA261" s="6" t="s">
        <v>240</v>
      </c>
      <c r="AB261" s="6"/>
      <c r="AC261" s="78"/>
      <c r="AD261" s="4"/>
      <c r="AE261" s="4"/>
      <c r="AF261" s="78"/>
      <c r="AG261" s="6" t="s">
        <v>240</v>
      </c>
      <c r="AH261" s="6"/>
      <c r="AI261" s="78"/>
      <c r="AJ261" s="4"/>
      <c r="AK261" s="4"/>
      <c r="AL261" s="81"/>
      <c r="AM261" s="6" t="s">
        <v>240</v>
      </c>
      <c r="AN261" s="6"/>
      <c r="AO261" s="78"/>
      <c r="AP261" s="4"/>
      <c r="AQ261" s="4"/>
      <c r="AR261" s="81"/>
      <c r="AS261" s="6" t="s">
        <v>240</v>
      </c>
      <c r="AT261" s="6"/>
      <c r="AU261" s="78"/>
      <c r="AV261" s="4"/>
      <c r="AW261" s="4"/>
      <c r="AX261" s="81"/>
      <c r="AY261" s="6" t="s">
        <v>240</v>
      </c>
      <c r="AZ261" s="6"/>
      <c r="BA261" s="78"/>
      <c r="BB261" s="4"/>
      <c r="BC261" s="4"/>
      <c r="BD261" s="81"/>
      <c r="BE261" s="6" t="s">
        <v>240</v>
      </c>
      <c r="BF261" s="6"/>
      <c r="BG261" s="78"/>
      <c r="BH261" s="4"/>
      <c r="BI261" s="4"/>
      <c r="BJ261" s="81"/>
      <c r="BK261" s="6" t="s">
        <v>240</v>
      </c>
      <c r="BL261" s="6"/>
      <c r="BM261" s="78"/>
      <c r="BN261" s="4"/>
      <c r="BO261" s="4"/>
      <c r="BP261" s="81"/>
      <c r="BQ261" s="6" t="s">
        <v>240</v>
      </c>
      <c r="BR261" s="6"/>
      <c r="BS261" s="78"/>
      <c r="BT261" s="4"/>
      <c r="BU261" s="4"/>
      <c r="BV261" s="81"/>
      <c r="BW261" s="6" t="s">
        <v>240</v>
      </c>
      <c r="BX261" s="6"/>
      <c r="BY261" s="78"/>
    </row>
    <row r="262" spans="6:77" x14ac:dyDescent="0.25">
      <c r="F262" s="4"/>
      <c r="G262" s="4"/>
      <c r="H262" s="81"/>
      <c r="I262" s="4"/>
      <c r="J262" s="4"/>
      <c r="K262" s="95"/>
      <c r="L262" s="4"/>
      <c r="M262" s="4"/>
      <c r="N262" s="81"/>
      <c r="O262" s="4"/>
      <c r="P262" s="4"/>
      <c r="Q262" s="78"/>
      <c r="R262" s="4"/>
      <c r="S262" s="4"/>
      <c r="T262" s="81"/>
      <c r="U262" s="4"/>
      <c r="V262" s="4"/>
      <c r="W262" s="78"/>
      <c r="X262" s="4"/>
      <c r="Y262" s="4"/>
      <c r="Z262" s="81"/>
      <c r="AA262" s="4"/>
      <c r="AB262" s="4"/>
      <c r="AC262" s="78"/>
      <c r="AD262" s="4"/>
      <c r="AE262" s="4"/>
      <c r="AF262" s="78"/>
      <c r="AG262" s="4"/>
      <c r="AH262" s="4"/>
      <c r="AI262" s="78"/>
      <c r="AJ262" s="4"/>
      <c r="AK262" s="4"/>
      <c r="AL262" s="81"/>
      <c r="AM262" s="4"/>
      <c r="AN262" s="4"/>
      <c r="AO262" s="78"/>
      <c r="AP262" s="4"/>
      <c r="AQ262" s="4"/>
      <c r="AR262" s="81"/>
      <c r="AS262" s="4"/>
      <c r="AT262" s="4"/>
      <c r="AU262" s="78"/>
      <c r="AV262" s="4"/>
      <c r="AW262" s="4"/>
      <c r="AX262" s="81"/>
      <c r="AY262" s="4"/>
      <c r="AZ262" s="4"/>
      <c r="BA262" s="78"/>
      <c r="BB262" s="4"/>
      <c r="BC262" s="4"/>
      <c r="BD262" s="81"/>
      <c r="BE262" s="4" t="s">
        <v>241</v>
      </c>
      <c r="BF262" s="4"/>
      <c r="BG262" s="78"/>
      <c r="BH262" s="4"/>
      <c r="BI262" s="4"/>
      <c r="BJ262" s="81"/>
      <c r="BK262" s="4"/>
      <c r="BL262" s="4"/>
      <c r="BM262" s="78"/>
      <c r="BN262" s="4"/>
      <c r="BO262" s="4"/>
      <c r="BP262" s="81"/>
      <c r="BQ262" s="4"/>
      <c r="BR262" s="4"/>
      <c r="BS262" s="78"/>
      <c r="BT262" s="4"/>
      <c r="BU262" s="4"/>
      <c r="BV262" s="81"/>
      <c r="BW262" s="4"/>
      <c r="BX262" s="4"/>
      <c r="BY262" s="78"/>
    </row>
    <row r="263" spans="6:77" x14ac:dyDescent="0.25">
      <c r="F263" s="4"/>
      <c r="G263" s="4"/>
      <c r="H263" s="81"/>
      <c r="I263" s="4"/>
      <c r="J263" s="4"/>
      <c r="K263" s="78"/>
      <c r="L263" s="4"/>
      <c r="M263" s="4"/>
      <c r="N263" s="78"/>
      <c r="O263" s="4"/>
      <c r="P263" s="4"/>
      <c r="Q263" s="78"/>
      <c r="R263" s="4"/>
      <c r="S263" s="4"/>
      <c r="T263" s="81"/>
      <c r="U263" s="4"/>
      <c r="V263" s="4"/>
      <c r="W263" s="78"/>
      <c r="X263" s="4"/>
      <c r="Y263" s="4"/>
      <c r="Z263" s="81"/>
      <c r="AA263" s="4"/>
      <c r="AB263" s="4"/>
      <c r="AC263" s="78"/>
      <c r="AD263" s="4"/>
      <c r="AE263" s="4"/>
      <c r="AF263" s="78"/>
      <c r="AG263" s="4"/>
      <c r="AH263" s="4"/>
      <c r="AI263" s="78"/>
      <c r="AJ263" s="4"/>
      <c r="AK263" s="4"/>
      <c r="AL263" s="81"/>
      <c r="AM263" s="4"/>
      <c r="AN263" s="4"/>
      <c r="AO263" s="78"/>
      <c r="AP263" s="4"/>
      <c r="AQ263" s="4"/>
      <c r="AR263" s="81"/>
      <c r="AS263" s="4"/>
      <c r="AT263" s="4"/>
      <c r="AU263" s="78"/>
      <c r="AV263" s="4"/>
      <c r="AW263" s="4"/>
      <c r="AX263" s="81"/>
      <c r="AY263" s="4"/>
      <c r="AZ263" s="4"/>
      <c r="BA263" s="78"/>
      <c r="BB263" s="4"/>
      <c r="BC263" s="4"/>
      <c r="BD263" s="81"/>
      <c r="BE263" s="4" t="s">
        <v>242</v>
      </c>
      <c r="BF263" s="4"/>
      <c r="BG263" s="78"/>
      <c r="BH263" s="4"/>
      <c r="BI263" s="4"/>
      <c r="BJ263" s="81"/>
      <c r="BK263" s="4"/>
      <c r="BL263" s="4"/>
      <c r="BM263" s="78"/>
      <c r="BN263" s="4"/>
      <c r="BO263" s="4"/>
      <c r="BP263" s="81"/>
      <c r="BQ263" s="4"/>
      <c r="BR263" s="4"/>
      <c r="BS263" s="78"/>
      <c r="BT263" s="4"/>
      <c r="BU263" s="4"/>
      <c r="BV263" s="81"/>
      <c r="BW263" s="4"/>
      <c r="BX263" s="4"/>
      <c r="BY263" s="78"/>
    </row>
    <row r="264" spans="6:77" x14ac:dyDescent="0.25">
      <c r="F264" s="4"/>
      <c r="G264" s="4"/>
      <c r="L264" s="4"/>
      <c r="M264" s="4"/>
      <c r="R264" s="4"/>
      <c r="S264" s="4"/>
      <c r="X264" s="4"/>
      <c r="Y264" s="4"/>
      <c r="AD264" s="4"/>
      <c r="AE264" s="4"/>
    </row>
    <row r="265" spans="6:77" x14ac:dyDescent="0.25">
      <c r="F265" s="4"/>
      <c r="G265" s="4"/>
      <c r="L265" s="4"/>
      <c r="M265" s="4"/>
      <c r="R265" s="4"/>
      <c r="S265" s="4"/>
      <c r="X265" s="4"/>
      <c r="Y265" s="4"/>
      <c r="AD265" s="4"/>
      <c r="AE265" s="4"/>
    </row>
    <row r="266" spans="6:77" x14ac:dyDescent="0.25">
      <c r="F266" s="4"/>
      <c r="G266" s="4"/>
      <c r="L266" s="4"/>
      <c r="M266" s="4"/>
      <c r="R266" s="4"/>
      <c r="S266" s="4"/>
      <c r="X266" s="4"/>
      <c r="Y266" s="4"/>
      <c r="AD266" s="4"/>
      <c r="AE266" s="4"/>
    </row>
    <row r="267" spans="6:77" x14ac:dyDescent="0.25">
      <c r="F267" s="4"/>
      <c r="G267" s="4"/>
      <c r="L267" s="4"/>
      <c r="M267" s="4"/>
      <c r="R267" s="4"/>
      <c r="S267" s="4"/>
      <c r="X267" s="4"/>
      <c r="Y267" s="4"/>
      <c r="AD267" s="4"/>
      <c r="AE267" s="4"/>
    </row>
    <row r="268" spans="6:77" x14ac:dyDescent="0.25">
      <c r="F268" s="4"/>
      <c r="G268" s="4"/>
      <c r="L268" s="4"/>
      <c r="M268" s="4"/>
      <c r="R268" s="4"/>
      <c r="S268" s="4"/>
      <c r="X268" s="4"/>
      <c r="Y268" s="4"/>
      <c r="AD268" s="4"/>
      <c r="AE268" s="4"/>
    </row>
    <row r="269" spans="6:77" x14ac:dyDescent="0.25">
      <c r="F269" s="4"/>
      <c r="G269" s="4"/>
      <c r="L269" s="4"/>
      <c r="M269" s="4"/>
      <c r="R269" s="4"/>
      <c r="S269" s="4"/>
      <c r="X269" s="4"/>
      <c r="Y269" s="4"/>
      <c r="AD269" s="4"/>
      <c r="AE269" s="4"/>
    </row>
    <row r="270" spans="6:77" x14ac:dyDescent="0.25">
      <c r="F270" s="4"/>
      <c r="G270" s="4"/>
      <c r="L270" s="4"/>
      <c r="M270" s="4"/>
      <c r="R270" s="4"/>
      <c r="S270" s="4"/>
      <c r="X270" s="4"/>
      <c r="Y270" s="4"/>
      <c r="AD270" s="4"/>
      <c r="AE270" s="4"/>
    </row>
    <row r="271" spans="6:77" x14ac:dyDescent="0.25">
      <c r="F271" s="4"/>
      <c r="G271" s="4"/>
      <c r="L271" s="4"/>
      <c r="M271" s="4"/>
      <c r="R271" s="4"/>
      <c r="S271" s="4"/>
      <c r="X271" s="4"/>
      <c r="Y271" s="4"/>
      <c r="AD271" s="4"/>
      <c r="AE271" s="4"/>
    </row>
    <row r="272" spans="6:77" x14ac:dyDescent="0.25">
      <c r="F272" s="4"/>
      <c r="G272" s="4"/>
      <c r="L272" s="4"/>
      <c r="M272" s="4"/>
      <c r="R272" s="4"/>
      <c r="S272" s="4"/>
      <c r="X272" s="4"/>
      <c r="Y272" s="4"/>
      <c r="AD272" s="4"/>
      <c r="AE272" s="4"/>
    </row>
    <row r="273" spans="1:76" x14ac:dyDescent="0.25">
      <c r="F273" s="4"/>
      <c r="G273" s="4"/>
      <c r="L273" s="4"/>
      <c r="M273" s="4"/>
      <c r="R273" s="4"/>
      <c r="S273" s="4"/>
      <c r="X273" s="4"/>
      <c r="Y273" s="4"/>
      <c r="AD273" s="4"/>
      <c r="AE273" s="4"/>
    </row>
    <row r="274" spans="1:76" x14ac:dyDescent="0.25">
      <c r="F274" s="22"/>
      <c r="G274" s="22"/>
      <c r="H274" s="46"/>
      <c r="I274" s="46"/>
      <c r="J274" s="46"/>
      <c r="K274" s="46"/>
      <c r="L274" s="22"/>
      <c r="M274" s="22"/>
      <c r="N274" s="46"/>
      <c r="O274" s="46"/>
      <c r="P274" s="46"/>
      <c r="Q274" s="46"/>
      <c r="R274" s="22"/>
      <c r="S274" s="22"/>
      <c r="T274" s="46"/>
      <c r="U274" s="46"/>
      <c r="V274" s="46"/>
      <c r="W274" s="46"/>
      <c r="X274" s="22"/>
      <c r="Y274" s="22"/>
      <c r="Z274" s="46"/>
      <c r="AA274" s="46"/>
      <c r="AB274" s="46"/>
      <c r="AC274" s="46"/>
      <c r="AD274" s="22"/>
      <c r="AE274" s="22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  <c r="BN274" s="46"/>
      <c r="BO274" s="46"/>
      <c r="BP274" s="46"/>
      <c r="BQ274" s="46"/>
      <c r="BR274" s="46"/>
      <c r="BS274" s="46"/>
      <c r="BT274" s="46"/>
      <c r="BU274" s="46"/>
      <c r="BV274" s="46"/>
      <c r="BW274" s="46"/>
      <c r="BX274" s="46"/>
    </row>
    <row r="275" spans="1:76" x14ac:dyDescent="0.25">
      <c r="F275" s="22"/>
      <c r="G275" s="22"/>
      <c r="H275" s="46"/>
      <c r="I275" s="46"/>
      <c r="J275" s="46"/>
      <c r="K275" s="46"/>
      <c r="L275" s="22"/>
      <c r="M275" s="22"/>
      <c r="N275" s="46"/>
      <c r="O275" s="46"/>
      <c r="P275" s="46"/>
      <c r="Q275" s="46"/>
      <c r="R275" s="22"/>
      <c r="S275" s="22"/>
      <c r="T275" s="46"/>
      <c r="U275" s="46"/>
      <c r="V275" s="46"/>
      <c r="W275" s="46"/>
      <c r="X275" s="22"/>
      <c r="Y275" s="22"/>
      <c r="Z275" s="46"/>
      <c r="AA275" s="46"/>
      <c r="AB275" s="46"/>
      <c r="AC275" s="46"/>
      <c r="AD275" s="22"/>
      <c r="AE275" s="22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</row>
    <row r="276" spans="1:76" x14ac:dyDescent="0.25">
      <c r="F276" s="22"/>
      <c r="G276" s="22"/>
      <c r="H276" s="46"/>
      <c r="I276" s="46"/>
      <c r="J276" s="46"/>
      <c r="K276" s="46"/>
      <c r="L276" s="22"/>
      <c r="M276" s="22"/>
      <c r="N276" s="46"/>
      <c r="O276" s="46"/>
      <c r="P276" s="46"/>
      <c r="Q276" s="46"/>
      <c r="R276" s="22"/>
      <c r="S276" s="22"/>
      <c r="T276" s="46"/>
      <c r="U276" s="46"/>
      <c r="V276" s="46"/>
      <c r="W276" s="46"/>
      <c r="X276" s="22"/>
      <c r="Y276" s="22"/>
      <c r="Z276" s="46"/>
      <c r="AA276" s="46"/>
      <c r="AB276" s="46"/>
      <c r="AC276" s="46"/>
      <c r="AD276" s="22"/>
      <c r="AE276" s="22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</row>
    <row r="278" spans="1:76" x14ac:dyDescent="0.2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</row>
    <row r="280" spans="1:76" x14ac:dyDescent="0.25">
      <c r="A280" s="85" t="s">
        <v>244</v>
      </c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</row>
    <row r="281" spans="1:76" x14ac:dyDescent="0.25">
      <c r="A281" s="47" t="s">
        <v>245</v>
      </c>
      <c r="B281" s="47"/>
      <c r="C281" s="47"/>
    </row>
    <row r="282" spans="1:76" x14ac:dyDescent="0.25">
      <c r="A282" s="47" t="s">
        <v>246</v>
      </c>
      <c r="B282" s="47" t="s">
        <v>5</v>
      </c>
      <c r="C282" s="47" t="s">
        <v>8</v>
      </c>
    </row>
    <row r="283" spans="1:76" x14ac:dyDescent="0.25">
      <c r="A283" s="36" t="s">
        <v>311</v>
      </c>
      <c r="B283" s="51" t="e">
        <f>(C283/$C$288)*1</f>
        <v>#DIV/0!</v>
      </c>
      <c r="C283" s="4"/>
    </row>
    <row r="284" spans="1:76" x14ac:dyDescent="0.25">
      <c r="A284" s="36" t="s">
        <v>250</v>
      </c>
      <c r="B284" s="51" t="e">
        <f t="shared" ref="B284:B287" si="50">(C284/$C$288)*1</f>
        <v>#DIV/0!</v>
      </c>
      <c r="C284" s="4"/>
    </row>
    <row r="285" spans="1:76" x14ac:dyDescent="0.25">
      <c r="A285" s="1" t="s">
        <v>312</v>
      </c>
      <c r="B285" s="51" t="e">
        <f t="shared" si="50"/>
        <v>#DIV/0!</v>
      </c>
      <c r="C285" s="4"/>
    </row>
    <row r="286" spans="1:76" x14ac:dyDescent="0.25">
      <c r="A286" s="1" t="s">
        <v>249</v>
      </c>
      <c r="B286" s="51" t="e">
        <f t="shared" si="50"/>
        <v>#DIV/0!</v>
      </c>
      <c r="C286" s="4"/>
    </row>
    <row r="287" spans="1:76" x14ac:dyDescent="0.25">
      <c r="A287" s="1" t="s">
        <v>313</v>
      </c>
      <c r="B287" s="51" t="e">
        <f t="shared" si="50"/>
        <v>#DIV/0!</v>
      </c>
      <c r="C287" s="4"/>
    </row>
    <row r="288" spans="1:76" x14ac:dyDescent="0.25">
      <c r="C288">
        <f>SUM(C283:C287)</f>
        <v>0</v>
      </c>
    </row>
    <row r="289" spans="1:14" x14ac:dyDescent="0.25">
      <c r="A289" s="93" t="s">
        <v>248</v>
      </c>
      <c r="B289" s="93"/>
      <c r="C289" s="93"/>
    </row>
    <row r="290" spans="1:14" x14ac:dyDescent="0.25">
      <c r="A290" s="5" t="s">
        <v>246</v>
      </c>
      <c r="B290" s="5" t="s">
        <v>5</v>
      </c>
      <c r="C290" s="5" t="s">
        <v>8</v>
      </c>
    </row>
    <row r="291" spans="1:14" x14ac:dyDescent="0.25">
      <c r="A291" s="4" t="s">
        <v>314</v>
      </c>
      <c r="B291" s="51" t="e">
        <f>(C291/$C$296)*1</f>
        <v>#DIV/0!</v>
      </c>
      <c r="C291" s="4"/>
    </row>
    <row r="292" spans="1:14" x14ac:dyDescent="0.25">
      <c r="A292" s="4" t="s">
        <v>315</v>
      </c>
      <c r="B292" s="51" t="e">
        <f t="shared" ref="B292:B295" si="51">(C292/$C$296)*1</f>
        <v>#DIV/0!</v>
      </c>
      <c r="C292" s="4"/>
    </row>
    <row r="293" spans="1:14" x14ac:dyDescent="0.25">
      <c r="A293" s="4" t="s">
        <v>316</v>
      </c>
      <c r="B293" s="51" t="e">
        <f t="shared" si="51"/>
        <v>#DIV/0!</v>
      </c>
      <c r="C293" s="4"/>
    </row>
    <row r="294" spans="1:14" x14ac:dyDescent="0.25">
      <c r="A294" s="4" t="s">
        <v>317</v>
      </c>
      <c r="B294" s="51" t="e">
        <f t="shared" si="51"/>
        <v>#DIV/0!</v>
      </c>
      <c r="C294" s="4"/>
    </row>
    <row r="295" spans="1:14" x14ac:dyDescent="0.25">
      <c r="A295" s="4" t="s">
        <v>318</v>
      </c>
      <c r="B295" s="51" t="e">
        <f t="shared" si="51"/>
        <v>#DIV/0!</v>
      </c>
      <c r="C295" s="4"/>
    </row>
    <row r="296" spans="1:14" x14ac:dyDescent="0.25">
      <c r="C296">
        <f>SUM(C291:C295)</f>
        <v>0</v>
      </c>
    </row>
    <row r="298" spans="1:14" x14ac:dyDescent="0.25">
      <c r="A298" s="52"/>
      <c r="B298" s="84" t="s">
        <v>311</v>
      </c>
      <c r="C298" s="84"/>
      <c r="D298" s="84" t="s">
        <v>250</v>
      </c>
      <c r="E298" s="84"/>
      <c r="F298" s="84" t="s">
        <v>324</v>
      </c>
      <c r="G298" s="84"/>
      <c r="H298" s="82" t="s">
        <v>249</v>
      </c>
      <c r="I298" s="83"/>
      <c r="J298" s="82" t="s">
        <v>313</v>
      </c>
      <c r="K298" s="83"/>
      <c r="L298" s="84" t="s">
        <v>325</v>
      </c>
      <c r="M298" s="84"/>
      <c r="N298" s="6"/>
    </row>
    <row r="299" spans="1:14" x14ac:dyDescent="0.25">
      <c r="A299" s="52"/>
      <c r="B299" s="37">
        <v>2025</v>
      </c>
      <c r="C299" s="37">
        <v>2025</v>
      </c>
      <c r="D299" s="37">
        <v>2025</v>
      </c>
      <c r="E299" s="37">
        <v>2025</v>
      </c>
      <c r="F299" s="37">
        <v>2025</v>
      </c>
      <c r="G299" s="37">
        <v>2025</v>
      </c>
      <c r="H299" s="37">
        <v>2025</v>
      </c>
      <c r="I299" s="37">
        <v>2025</v>
      </c>
      <c r="J299" s="37">
        <v>2025</v>
      </c>
      <c r="K299" s="37">
        <v>2025</v>
      </c>
      <c r="L299" s="37">
        <v>2025</v>
      </c>
      <c r="M299" s="37">
        <v>2025</v>
      </c>
      <c r="N299" s="6" t="s">
        <v>6</v>
      </c>
    </row>
    <row r="300" spans="1:14" x14ac:dyDescent="0.25">
      <c r="A300" s="1" t="s">
        <v>319</v>
      </c>
      <c r="B300" s="4"/>
      <c r="C300" s="53" t="e">
        <f>(B300/N300)*1</f>
        <v>#DIV/0!</v>
      </c>
      <c r="D300" s="4"/>
      <c r="E300" s="53" t="e">
        <f>(D300/N300)*1</f>
        <v>#DIV/0!</v>
      </c>
      <c r="F300" s="4"/>
      <c r="G300" s="53" t="e">
        <f>(F300/N300)*1</f>
        <v>#DIV/0!</v>
      </c>
      <c r="H300" s="4"/>
      <c r="I300" s="11" t="e">
        <f>(H300/N300)*1</f>
        <v>#DIV/0!</v>
      </c>
      <c r="J300" s="4"/>
      <c r="K300" s="54" t="e">
        <f>(J300/N300)*1</f>
        <v>#DIV/0!</v>
      </c>
      <c r="L300" s="4"/>
      <c r="M300" s="11" t="e">
        <f>(L300/N300)*1</f>
        <v>#DIV/0!</v>
      </c>
      <c r="N300" s="1">
        <f>SUM(B300,D300,F300,H300,J300,L300)</f>
        <v>0</v>
      </c>
    </row>
    <row r="301" spans="1:14" x14ac:dyDescent="0.25">
      <c r="A301" s="1" t="s">
        <v>251</v>
      </c>
      <c r="B301" s="4"/>
      <c r="C301" s="53" t="e">
        <f t="shared" ref="C301:C311" si="52">(B301/N301)*1</f>
        <v>#DIV/0!</v>
      </c>
      <c r="D301" s="4"/>
      <c r="E301" s="53" t="e">
        <f t="shared" ref="E301:E311" si="53">(D301/N301)*1</f>
        <v>#DIV/0!</v>
      </c>
      <c r="F301" s="4"/>
      <c r="G301" s="53" t="e">
        <f t="shared" ref="G301:G311" si="54">(F301/N301)*1</f>
        <v>#DIV/0!</v>
      </c>
      <c r="H301" s="4"/>
      <c r="I301" s="11" t="e">
        <f t="shared" ref="I301:I311" si="55">(H301/N301)*1</f>
        <v>#DIV/0!</v>
      </c>
      <c r="J301" s="4"/>
      <c r="K301" s="54" t="e">
        <f t="shared" ref="K301:K311" si="56">(J301/N301)*1</f>
        <v>#DIV/0!</v>
      </c>
      <c r="L301" s="4"/>
      <c r="M301" s="11" t="e">
        <f t="shared" ref="M301:M311" si="57">(L301/N301)*1</f>
        <v>#DIV/0!</v>
      </c>
      <c r="N301" s="1">
        <f t="shared" ref="N301:N311" si="58">SUM(B301,D301,F301,H301,J301,L301)</f>
        <v>0</v>
      </c>
    </row>
    <row r="302" spans="1:14" x14ac:dyDescent="0.25">
      <c r="A302" s="10" t="s">
        <v>252</v>
      </c>
      <c r="B302" s="4"/>
      <c r="C302" s="53" t="e">
        <f t="shared" si="52"/>
        <v>#DIV/0!</v>
      </c>
      <c r="D302" s="4"/>
      <c r="E302" s="53" t="e">
        <f t="shared" si="53"/>
        <v>#DIV/0!</v>
      </c>
      <c r="F302" s="4"/>
      <c r="G302" s="53" t="e">
        <f t="shared" si="54"/>
        <v>#DIV/0!</v>
      </c>
      <c r="H302" s="4"/>
      <c r="I302" s="11" t="e">
        <f t="shared" si="55"/>
        <v>#DIV/0!</v>
      </c>
      <c r="J302" s="4"/>
      <c r="K302" s="54" t="e">
        <f t="shared" si="56"/>
        <v>#DIV/0!</v>
      </c>
      <c r="L302" s="4"/>
      <c r="M302" s="11" t="e">
        <f t="shared" si="57"/>
        <v>#DIV/0!</v>
      </c>
      <c r="N302" s="1">
        <f t="shared" si="58"/>
        <v>0</v>
      </c>
    </row>
    <row r="303" spans="1:14" x14ac:dyDescent="0.25">
      <c r="A303" s="1" t="s">
        <v>320</v>
      </c>
      <c r="B303" s="4"/>
      <c r="C303" s="53" t="e">
        <f t="shared" si="52"/>
        <v>#DIV/0!</v>
      </c>
      <c r="D303" s="4"/>
      <c r="E303" s="53" t="e">
        <f t="shared" si="53"/>
        <v>#DIV/0!</v>
      </c>
      <c r="F303" s="4"/>
      <c r="G303" s="53" t="e">
        <f t="shared" si="54"/>
        <v>#DIV/0!</v>
      </c>
      <c r="H303" s="4"/>
      <c r="I303" s="11" t="e">
        <f t="shared" si="55"/>
        <v>#DIV/0!</v>
      </c>
      <c r="J303" s="4"/>
      <c r="K303" s="54" t="e">
        <f t="shared" si="56"/>
        <v>#DIV/0!</v>
      </c>
      <c r="L303" s="4"/>
      <c r="M303" s="11" t="e">
        <f t="shared" si="57"/>
        <v>#DIV/0!</v>
      </c>
      <c r="N303" s="1">
        <f t="shared" si="58"/>
        <v>0</v>
      </c>
    </row>
    <row r="304" spans="1:14" x14ac:dyDescent="0.25">
      <c r="A304" s="1" t="s">
        <v>253</v>
      </c>
      <c r="B304" s="4"/>
      <c r="C304" s="53" t="e">
        <f t="shared" si="52"/>
        <v>#DIV/0!</v>
      </c>
      <c r="D304" s="4"/>
      <c r="E304" s="53" t="e">
        <f t="shared" si="53"/>
        <v>#DIV/0!</v>
      </c>
      <c r="F304" s="4"/>
      <c r="G304" s="53" t="e">
        <f t="shared" si="54"/>
        <v>#DIV/0!</v>
      </c>
      <c r="H304" s="4"/>
      <c r="I304" s="11" t="e">
        <f t="shared" si="55"/>
        <v>#DIV/0!</v>
      </c>
      <c r="J304" s="4"/>
      <c r="K304" s="54" t="e">
        <f t="shared" si="56"/>
        <v>#DIV/0!</v>
      </c>
      <c r="L304" s="4"/>
      <c r="M304" s="11" t="e">
        <f t="shared" si="57"/>
        <v>#DIV/0!</v>
      </c>
      <c r="N304" s="1">
        <f t="shared" si="58"/>
        <v>0</v>
      </c>
    </row>
    <row r="305" spans="1:14" x14ac:dyDescent="0.25">
      <c r="A305" s="1" t="s">
        <v>254</v>
      </c>
      <c r="B305" s="4"/>
      <c r="C305" s="53" t="e">
        <f t="shared" si="52"/>
        <v>#DIV/0!</v>
      </c>
      <c r="D305" s="4"/>
      <c r="E305" s="53" t="e">
        <f t="shared" si="53"/>
        <v>#DIV/0!</v>
      </c>
      <c r="F305" s="4"/>
      <c r="G305" s="53" t="e">
        <f t="shared" si="54"/>
        <v>#DIV/0!</v>
      </c>
      <c r="H305" s="4"/>
      <c r="I305" s="11" t="e">
        <f t="shared" si="55"/>
        <v>#DIV/0!</v>
      </c>
      <c r="J305" s="4"/>
      <c r="K305" s="54" t="e">
        <f t="shared" si="56"/>
        <v>#DIV/0!</v>
      </c>
      <c r="L305" s="4"/>
      <c r="M305" s="11" t="e">
        <f t="shared" si="57"/>
        <v>#DIV/0!</v>
      </c>
      <c r="N305" s="1">
        <f t="shared" si="58"/>
        <v>0</v>
      </c>
    </row>
    <row r="306" spans="1:14" x14ac:dyDescent="0.25">
      <c r="A306" s="1" t="s">
        <v>255</v>
      </c>
      <c r="B306" s="4"/>
      <c r="C306" s="53" t="e">
        <f t="shared" si="52"/>
        <v>#DIV/0!</v>
      </c>
      <c r="D306" s="4"/>
      <c r="E306" s="53" t="e">
        <f t="shared" si="53"/>
        <v>#DIV/0!</v>
      </c>
      <c r="F306" s="4"/>
      <c r="G306" s="53" t="e">
        <f t="shared" si="54"/>
        <v>#DIV/0!</v>
      </c>
      <c r="H306" s="4"/>
      <c r="I306" s="11" t="e">
        <f t="shared" si="55"/>
        <v>#DIV/0!</v>
      </c>
      <c r="J306" s="4"/>
      <c r="K306" s="54" t="e">
        <f t="shared" si="56"/>
        <v>#DIV/0!</v>
      </c>
      <c r="L306" s="4"/>
      <c r="M306" s="11" t="e">
        <f t="shared" si="57"/>
        <v>#DIV/0!</v>
      </c>
      <c r="N306" s="1">
        <f t="shared" si="58"/>
        <v>0</v>
      </c>
    </row>
    <row r="307" spans="1:14" x14ac:dyDescent="0.25">
      <c r="A307" s="1" t="s">
        <v>256</v>
      </c>
      <c r="B307" s="4"/>
      <c r="C307" s="53" t="e">
        <f t="shared" si="52"/>
        <v>#DIV/0!</v>
      </c>
      <c r="D307" s="4"/>
      <c r="E307" s="53" t="e">
        <f t="shared" si="53"/>
        <v>#DIV/0!</v>
      </c>
      <c r="F307" s="4"/>
      <c r="G307" s="53" t="e">
        <f t="shared" si="54"/>
        <v>#DIV/0!</v>
      </c>
      <c r="H307" s="4"/>
      <c r="I307" s="11" t="e">
        <f t="shared" si="55"/>
        <v>#DIV/0!</v>
      </c>
      <c r="J307" s="4"/>
      <c r="K307" s="54" t="e">
        <f t="shared" si="56"/>
        <v>#DIV/0!</v>
      </c>
      <c r="L307" s="4"/>
      <c r="M307" s="11" t="e">
        <f t="shared" si="57"/>
        <v>#DIV/0!</v>
      </c>
      <c r="N307" s="1">
        <f t="shared" si="58"/>
        <v>0</v>
      </c>
    </row>
    <row r="308" spans="1:14" x14ac:dyDescent="0.25">
      <c r="A308" s="1" t="s">
        <v>257</v>
      </c>
      <c r="B308" s="4"/>
      <c r="C308" s="53" t="e">
        <f t="shared" si="52"/>
        <v>#DIV/0!</v>
      </c>
      <c r="D308" s="4"/>
      <c r="E308" s="53" t="e">
        <f t="shared" si="53"/>
        <v>#DIV/0!</v>
      </c>
      <c r="F308" s="4"/>
      <c r="G308" s="53" t="e">
        <f t="shared" si="54"/>
        <v>#DIV/0!</v>
      </c>
      <c r="H308" s="4"/>
      <c r="I308" s="11" t="e">
        <f t="shared" si="55"/>
        <v>#DIV/0!</v>
      </c>
      <c r="J308" s="4"/>
      <c r="K308" s="54" t="e">
        <f t="shared" si="56"/>
        <v>#DIV/0!</v>
      </c>
      <c r="L308" s="4"/>
      <c r="M308" s="11" t="e">
        <f t="shared" si="57"/>
        <v>#DIV/0!</v>
      </c>
      <c r="N308" s="1">
        <f t="shared" si="58"/>
        <v>0</v>
      </c>
    </row>
    <row r="309" spans="1:14" x14ac:dyDescent="0.25">
      <c r="A309" s="1" t="s">
        <v>321</v>
      </c>
      <c r="B309" s="4"/>
      <c r="C309" s="53" t="e">
        <f t="shared" si="52"/>
        <v>#DIV/0!</v>
      </c>
      <c r="D309" s="4"/>
      <c r="E309" s="53" t="e">
        <f t="shared" si="53"/>
        <v>#DIV/0!</v>
      </c>
      <c r="F309" s="4"/>
      <c r="G309" s="53" t="e">
        <f t="shared" si="54"/>
        <v>#DIV/0!</v>
      </c>
      <c r="H309" s="4"/>
      <c r="I309" s="11" t="e">
        <f t="shared" si="55"/>
        <v>#DIV/0!</v>
      </c>
      <c r="J309" s="4"/>
      <c r="K309" s="54" t="e">
        <f t="shared" si="56"/>
        <v>#DIV/0!</v>
      </c>
      <c r="L309" s="4"/>
      <c r="M309" s="11" t="e">
        <f t="shared" si="57"/>
        <v>#DIV/0!</v>
      </c>
      <c r="N309" s="1">
        <f t="shared" si="58"/>
        <v>0</v>
      </c>
    </row>
    <row r="310" spans="1:14" x14ac:dyDescent="0.25">
      <c r="A310" s="32" t="s">
        <v>322</v>
      </c>
      <c r="B310" s="4"/>
      <c r="C310" s="53" t="e">
        <f t="shared" si="52"/>
        <v>#DIV/0!</v>
      </c>
      <c r="D310" s="4"/>
      <c r="E310" s="53" t="e">
        <f t="shared" si="53"/>
        <v>#DIV/0!</v>
      </c>
      <c r="F310" s="4"/>
      <c r="G310" s="53" t="e">
        <f t="shared" si="54"/>
        <v>#DIV/0!</v>
      </c>
      <c r="H310" s="4"/>
      <c r="I310" s="11" t="e">
        <f t="shared" si="55"/>
        <v>#DIV/0!</v>
      </c>
      <c r="J310" s="4"/>
      <c r="K310" s="54" t="e">
        <f t="shared" si="56"/>
        <v>#DIV/0!</v>
      </c>
      <c r="L310" s="4"/>
      <c r="M310" s="11" t="e">
        <f t="shared" si="57"/>
        <v>#DIV/0!</v>
      </c>
      <c r="N310" s="1">
        <f t="shared" si="58"/>
        <v>0</v>
      </c>
    </row>
    <row r="311" spans="1:14" x14ac:dyDescent="0.25">
      <c r="A311" s="32" t="s">
        <v>323</v>
      </c>
      <c r="B311" s="4"/>
      <c r="C311" s="53" t="e">
        <f t="shared" si="52"/>
        <v>#DIV/0!</v>
      </c>
      <c r="D311" s="4"/>
      <c r="E311" s="53" t="e">
        <f t="shared" si="53"/>
        <v>#DIV/0!</v>
      </c>
      <c r="F311" s="4"/>
      <c r="G311" s="53" t="e">
        <f t="shared" si="54"/>
        <v>#DIV/0!</v>
      </c>
      <c r="H311" s="4"/>
      <c r="I311" s="11" t="e">
        <f t="shared" si="55"/>
        <v>#DIV/0!</v>
      </c>
      <c r="J311" s="4"/>
      <c r="K311" s="54" t="e">
        <f t="shared" si="56"/>
        <v>#DIV/0!</v>
      </c>
      <c r="L311" s="4"/>
      <c r="M311" s="11" t="e">
        <f t="shared" si="57"/>
        <v>#DIV/0!</v>
      </c>
      <c r="N311" s="1">
        <f t="shared" si="58"/>
        <v>0</v>
      </c>
    </row>
    <row r="312" spans="1:14" ht="15" customHeight="1" x14ac:dyDescent="0.25">
      <c r="A312" s="90" t="s">
        <v>258</v>
      </c>
      <c r="B312" s="90"/>
      <c r="C312" s="90"/>
      <c r="D312" s="90"/>
      <c r="E312" s="90"/>
    </row>
    <row r="313" spans="1:14" x14ac:dyDescent="0.25">
      <c r="A313" s="1"/>
      <c r="B313" s="5" t="s">
        <v>259</v>
      </c>
      <c r="C313" s="5" t="s">
        <v>6</v>
      </c>
      <c r="D313" s="5" t="s">
        <v>8</v>
      </c>
      <c r="E313" s="5" t="s">
        <v>7</v>
      </c>
    </row>
    <row r="314" spans="1:14" x14ac:dyDescent="0.25">
      <c r="A314" s="32" t="s">
        <v>260</v>
      </c>
      <c r="B314" s="38" t="e">
        <f>(C314/$C$317)*1</f>
        <v>#DIV/0!</v>
      </c>
      <c r="C314" s="32">
        <f>SUM(D314:E314)</f>
        <v>0</v>
      </c>
      <c r="D314" s="4"/>
      <c r="E314" s="4"/>
    </row>
    <row r="315" spans="1:14" x14ac:dyDescent="0.25">
      <c r="A315" s="32" t="s">
        <v>261</v>
      </c>
      <c r="B315" s="38" t="e">
        <f t="shared" ref="B315:B316" si="59">(C315/$C$317)*1</f>
        <v>#DIV/0!</v>
      </c>
      <c r="C315" s="32">
        <f t="shared" ref="C315:C316" si="60">SUM(D315:E315)</f>
        <v>0</v>
      </c>
      <c r="D315" s="4"/>
      <c r="E315" s="4"/>
    </row>
    <row r="316" spans="1:14" x14ac:dyDescent="0.25">
      <c r="A316" s="32" t="s">
        <v>262</v>
      </c>
      <c r="B316" s="38" t="e">
        <f t="shared" si="59"/>
        <v>#DIV/0!</v>
      </c>
      <c r="C316" s="32">
        <f t="shared" si="60"/>
        <v>0</v>
      </c>
      <c r="D316" s="4"/>
      <c r="E316" s="4"/>
    </row>
    <row r="317" spans="1:14" x14ac:dyDescent="0.25">
      <c r="C317" s="32">
        <f>SUM(C314:C316)</f>
        <v>0</v>
      </c>
      <c r="D317" s="32">
        <f>SUM(D314:D316)</f>
        <v>0</v>
      </c>
      <c r="E317" s="32">
        <f>SUM(E314:E316)</f>
        <v>0</v>
      </c>
    </row>
    <row r="321" spans="1:7" x14ac:dyDescent="0.25">
      <c r="A321" s="24" t="s">
        <v>263</v>
      </c>
      <c r="B321" s="24"/>
      <c r="C321" s="24"/>
      <c r="D321" s="24"/>
      <c r="E321" s="24"/>
      <c r="G321" s="24" t="s">
        <v>271</v>
      </c>
    </row>
    <row r="322" spans="1:7" ht="14.25" customHeight="1" x14ac:dyDescent="0.25">
      <c r="A322" s="1"/>
      <c r="B322" s="6" t="s">
        <v>259</v>
      </c>
      <c r="C322" s="6" t="s">
        <v>6</v>
      </c>
      <c r="D322" s="6" t="s">
        <v>8</v>
      </c>
      <c r="E322" s="6" t="s">
        <v>7</v>
      </c>
      <c r="G322" s="1">
        <f>C317-C331</f>
        <v>0</v>
      </c>
    </row>
    <row r="323" spans="1:7" x14ac:dyDescent="0.25">
      <c r="A323" s="1" t="s">
        <v>264</v>
      </c>
      <c r="B323" s="11" t="e">
        <f>(C323/$C$331)*1</f>
        <v>#DIV/0!</v>
      </c>
      <c r="C323" s="1">
        <f>SUM(D323:E323)</f>
        <v>0</v>
      </c>
      <c r="D323" s="4"/>
      <c r="E323" s="4"/>
    </row>
    <row r="324" spans="1:7" x14ac:dyDescent="0.25">
      <c r="A324" s="1" t="s">
        <v>265</v>
      </c>
      <c r="B324" s="11" t="e">
        <f t="shared" ref="B324:B330" si="61">(C324/$C$331)*1</f>
        <v>#DIV/0!</v>
      </c>
      <c r="C324" s="1">
        <f t="shared" ref="C324:C325" si="62">SUM(D324:E324)</f>
        <v>0</v>
      </c>
      <c r="D324" s="4"/>
      <c r="E324" s="4"/>
    </row>
    <row r="325" spans="1:7" x14ac:dyDescent="0.25">
      <c r="A325" s="1" t="s">
        <v>266</v>
      </c>
      <c r="B325" s="11" t="e">
        <f t="shared" si="61"/>
        <v>#DIV/0!</v>
      </c>
      <c r="C325" s="1">
        <f t="shared" si="62"/>
        <v>0</v>
      </c>
      <c r="D325" s="4"/>
      <c r="E325" s="4"/>
    </row>
    <row r="326" spans="1:7" x14ac:dyDescent="0.25">
      <c r="A326" s="1" t="s">
        <v>267</v>
      </c>
      <c r="B326" s="11" t="e">
        <f t="shared" si="61"/>
        <v>#DIV/0!</v>
      </c>
      <c r="C326" s="1">
        <f>SUM(D326:E326)</f>
        <v>0</v>
      </c>
      <c r="D326" s="4"/>
      <c r="E326" s="4"/>
    </row>
    <row r="327" spans="1:7" x14ac:dyDescent="0.25">
      <c r="A327" s="1" t="s">
        <v>268</v>
      </c>
      <c r="B327" s="11" t="e">
        <f t="shared" si="61"/>
        <v>#DIV/0!</v>
      </c>
      <c r="C327" s="1">
        <f t="shared" ref="C327:C329" si="63">SUM(D327:E327)</f>
        <v>0</v>
      </c>
      <c r="D327" s="4"/>
      <c r="E327" s="4"/>
    </row>
    <row r="328" spans="1:7" x14ac:dyDescent="0.25">
      <c r="A328" s="1" t="s">
        <v>269</v>
      </c>
      <c r="B328" s="11" t="e">
        <f t="shared" si="61"/>
        <v>#DIV/0!</v>
      </c>
      <c r="C328" s="1">
        <f t="shared" si="63"/>
        <v>0</v>
      </c>
      <c r="D328" s="4"/>
      <c r="E328" s="4"/>
    </row>
    <row r="329" spans="1:7" x14ac:dyDescent="0.25">
      <c r="A329" s="1" t="s">
        <v>270</v>
      </c>
      <c r="B329" s="11" t="e">
        <f t="shared" si="61"/>
        <v>#DIV/0!</v>
      </c>
      <c r="C329" s="1">
        <f t="shared" si="63"/>
        <v>0</v>
      </c>
      <c r="D329" s="4"/>
      <c r="E329" s="4"/>
    </row>
    <row r="330" spans="1:7" x14ac:dyDescent="0.25">
      <c r="A330" s="1" t="s">
        <v>326</v>
      </c>
      <c r="B330" s="11" t="e">
        <f t="shared" si="61"/>
        <v>#DIV/0!</v>
      </c>
      <c r="C330" s="1">
        <f>SUM(D330:E330)</f>
        <v>0</v>
      </c>
      <c r="D330" s="4"/>
      <c r="E330" s="4"/>
    </row>
    <row r="331" spans="1:7" x14ac:dyDescent="0.25">
      <c r="B331" s="11" t="e">
        <f>SUM(B323:B330)</f>
        <v>#DIV/0!</v>
      </c>
      <c r="C331" s="1">
        <f>SUM(C323:C330)</f>
        <v>0</v>
      </c>
      <c r="D331" s="1">
        <f>SUM(D323:D330)</f>
        <v>0</v>
      </c>
      <c r="E331" s="1">
        <f>SUM(E323:E330)</f>
        <v>0</v>
      </c>
    </row>
    <row r="334" spans="1:7" x14ac:dyDescent="0.25">
      <c r="A334" s="86" t="s">
        <v>272</v>
      </c>
      <c r="B334" s="87"/>
      <c r="C334" s="87"/>
      <c r="D334" s="87"/>
      <c r="E334" s="88"/>
    </row>
    <row r="335" spans="1:7" x14ac:dyDescent="0.25">
      <c r="A335" s="1"/>
      <c r="B335" s="6" t="s">
        <v>259</v>
      </c>
      <c r="C335" s="6" t="s">
        <v>6</v>
      </c>
      <c r="D335" s="6" t="s">
        <v>8</v>
      </c>
      <c r="E335" s="6" t="s">
        <v>7</v>
      </c>
    </row>
    <row r="336" spans="1:7" x14ac:dyDescent="0.25">
      <c r="A336" s="1" t="s">
        <v>273</v>
      </c>
      <c r="B336" s="11" t="e">
        <f>(C336/$C$345)*1</f>
        <v>#DIV/0!</v>
      </c>
      <c r="C336" s="1">
        <f>SUM(D336:E336)</f>
        <v>0</v>
      </c>
      <c r="D336" s="4"/>
      <c r="E336" s="4"/>
    </row>
    <row r="337" spans="1:7" x14ac:dyDescent="0.25">
      <c r="A337" s="1" t="s">
        <v>274</v>
      </c>
      <c r="B337" s="11" t="e">
        <f t="shared" ref="B337:B343" si="64">(C337/$C$345)*1</f>
        <v>#DIV/0!</v>
      </c>
      <c r="C337" s="1">
        <f t="shared" ref="C337:C344" si="65">SUM(D337:E337)</f>
        <v>0</v>
      </c>
      <c r="D337" s="4"/>
      <c r="E337" s="4"/>
    </row>
    <row r="338" spans="1:7" x14ac:dyDescent="0.25">
      <c r="A338" s="1" t="s">
        <v>275</v>
      </c>
      <c r="B338" s="11" t="e">
        <f t="shared" si="64"/>
        <v>#DIV/0!</v>
      </c>
      <c r="C338" s="1">
        <f t="shared" si="65"/>
        <v>0</v>
      </c>
      <c r="D338" s="4"/>
      <c r="E338" s="4"/>
    </row>
    <row r="339" spans="1:7" x14ac:dyDescent="0.25">
      <c r="A339" s="1" t="s">
        <v>276</v>
      </c>
      <c r="B339" s="11" t="e">
        <f t="shared" si="64"/>
        <v>#DIV/0!</v>
      </c>
      <c r="C339" s="1">
        <f>SUM(D339:E339)</f>
        <v>0</v>
      </c>
      <c r="D339" s="4"/>
      <c r="E339" s="4"/>
    </row>
    <row r="340" spans="1:7" x14ac:dyDescent="0.25">
      <c r="A340" s="1" t="s">
        <v>277</v>
      </c>
      <c r="B340" s="11" t="e">
        <f t="shared" si="64"/>
        <v>#DIV/0!</v>
      </c>
      <c r="C340" s="1">
        <f t="shared" si="65"/>
        <v>0</v>
      </c>
      <c r="D340" s="4"/>
      <c r="E340" s="4"/>
    </row>
    <row r="341" spans="1:7" x14ac:dyDescent="0.25">
      <c r="A341" s="1" t="s">
        <v>278</v>
      </c>
      <c r="B341" s="11" t="e">
        <f t="shared" si="64"/>
        <v>#DIV/0!</v>
      </c>
      <c r="C341" s="1">
        <f t="shared" si="65"/>
        <v>0</v>
      </c>
      <c r="D341" s="4"/>
      <c r="E341" s="4"/>
    </row>
    <row r="342" spans="1:7" x14ac:dyDescent="0.25">
      <c r="A342" s="1" t="s">
        <v>279</v>
      </c>
      <c r="B342" s="11" t="e">
        <f t="shared" si="64"/>
        <v>#DIV/0!</v>
      </c>
      <c r="C342" s="1">
        <f t="shared" si="65"/>
        <v>0</v>
      </c>
      <c r="D342" s="4"/>
      <c r="E342" s="4"/>
    </row>
    <row r="343" spans="1:7" x14ac:dyDescent="0.25">
      <c r="A343" s="1" t="s">
        <v>280</v>
      </c>
      <c r="B343" s="11" t="e">
        <f t="shared" si="64"/>
        <v>#DIV/0!</v>
      </c>
      <c r="C343" s="1">
        <f t="shared" si="65"/>
        <v>0</v>
      </c>
      <c r="D343" s="4"/>
      <c r="E343" s="4"/>
    </row>
    <row r="344" spans="1:7" x14ac:dyDescent="0.25">
      <c r="A344" s="1" t="s">
        <v>198</v>
      </c>
      <c r="B344" s="11" t="e">
        <f>(C344/$C$345)*1</f>
        <v>#DIV/0!</v>
      </c>
      <c r="C344" s="1">
        <f t="shared" si="65"/>
        <v>0</v>
      </c>
      <c r="D344" s="4"/>
      <c r="E344" s="4"/>
    </row>
    <row r="345" spans="1:7" x14ac:dyDescent="0.25">
      <c r="A345" s="1"/>
      <c r="B345" s="11" t="e">
        <f>SUM(B336:B344)</f>
        <v>#DIV/0!</v>
      </c>
      <c r="C345" s="1">
        <f>SUM(C336:C344)</f>
        <v>0</v>
      </c>
      <c r="D345" s="1">
        <f>SUM(D336:D344)</f>
        <v>0</v>
      </c>
      <c r="E345" s="1">
        <f>SUM(E336:E344)</f>
        <v>0</v>
      </c>
    </row>
    <row r="348" spans="1:7" x14ac:dyDescent="0.25">
      <c r="A348" s="79" t="s">
        <v>281</v>
      </c>
      <c r="B348" s="79"/>
      <c r="C348" s="79"/>
      <c r="D348" s="79"/>
      <c r="E348" s="79"/>
      <c r="G348" s="6" t="s">
        <v>271</v>
      </c>
    </row>
    <row r="349" spans="1:7" x14ac:dyDescent="0.25">
      <c r="A349" s="1"/>
      <c r="B349" s="6" t="s">
        <v>259</v>
      </c>
      <c r="C349" s="6" t="s">
        <v>6</v>
      </c>
      <c r="D349" s="6" t="s">
        <v>8</v>
      </c>
      <c r="E349" s="6" t="s">
        <v>7</v>
      </c>
      <c r="G349" s="1">
        <f>C317-C360</f>
        <v>0</v>
      </c>
    </row>
    <row r="350" spans="1:7" x14ac:dyDescent="0.25">
      <c r="A350" s="1" t="s">
        <v>282</v>
      </c>
      <c r="B350" s="11" t="e">
        <f>(C350/$C$360)*1</f>
        <v>#DIV/0!</v>
      </c>
      <c r="C350" s="1">
        <f>SUM(D350:E350)</f>
        <v>0</v>
      </c>
      <c r="D350" s="4"/>
      <c r="E350" s="4"/>
    </row>
    <row r="351" spans="1:7" x14ac:dyDescent="0.25">
      <c r="A351" s="1" t="s">
        <v>283</v>
      </c>
      <c r="B351" s="11" t="e">
        <f t="shared" ref="B351:B359" si="66">(C351/$C$360)*1</f>
        <v>#DIV/0!</v>
      </c>
      <c r="C351" s="1">
        <f t="shared" ref="C351:C352" si="67">SUM(D351:E351)</f>
        <v>0</v>
      </c>
      <c r="D351" s="4"/>
      <c r="E351" s="4"/>
    </row>
    <row r="352" spans="1:7" x14ac:dyDescent="0.25">
      <c r="A352" s="1" t="s">
        <v>284</v>
      </c>
      <c r="B352" s="11" t="e">
        <f t="shared" si="66"/>
        <v>#DIV/0!</v>
      </c>
      <c r="C352" s="1">
        <f t="shared" si="67"/>
        <v>0</v>
      </c>
      <c r="D352" s="4"/>
      <c r="E352" s="4"/>
    </row>
    <row r="353" spans="1:5" x14ac:dyDescent="0.25">
      <c r="A353" s="1" t="s">
        <v>285</v>
      </c>
      <c r="B353" s="11" t="e">
        <f t="shared" si="66"/>
        <v>#DIV/0!</v>
      </c>
      <c r="C353" s="1">
        <f>SUM(D353:E353)</f>
        <v>0</v>
      </c>
      <c r="D353" s="4"/>
      <c r="E353" s="4"/>
    </row>
    <row r="354" spans="1:5" x14ac:dyDescent="0.25">
      <c r="A354" s="1" t="s">
        <v>286</v>
      </c>
      <c r="B354" s="11" t="e">
        <f t="shared" si="66"/>
        <v>#DIV/0!</v>
      </c>
      <c r="C354" s="1">
        <f t="shared" ref="C354:C356" si="68">SUM(D354:E354)</f>
        <v>0</v>
      </c>
      <c r="D354" s="4"/>
      <c r="E354" s="4"/>
    </row>
    <row r="355" spans="1:5" x14ac:dyDescent="0.25">
      <c r="A355" s="1" t="s">
        <v>287</v>
      </c>
      <c r="B355" s="11" t="e">
        <f t="shared" si="66"/>
        <v>#DIV/0!</v>
      </c>
      <c r="C355" s="1">
        <f t="shared" si="68"/>
        <v>0</v>
      </c>
      <c r="D355" s="4"/>
      <c r="E355" s="4"/>
    </row>
    <row r="356" spans="1:5" x14ac:dyDescent="0.25">
      <c r="A356" s="1" t="s">
        <v>288</v>
      </c>
      <c r="B356" s="11" t="e">
        <f t="shared" si="66"/>
        <v>#DIV/0!</v>
      </c>
      <c r="C356" s="1">
        <f t="shared" si="68"/>
        <v>0</v>
      </c>
      <c r="D356" s="4"/>
      <c r="E356" s="4"/>
    </row>
    <row r="357" spans="1:5" x14ac:dyDescent="0.25">
      <c r="A357" s="1" t="s">
        <v>327</v>
      </c>
      <c r="B357" s="11" t="e">
        <f t="shared" si="66"/>
        <v>#DIV/0!</v>
      </c>
      <c r="C357" s="1">
        <f>SUM(D357:E357)</f>
        <v>0</v>
      </c>
      <c r="D357" s="4"/>
      <c r="E357" s="4"/>
    </row>
    <row r="358" spans="1:5" x14ac:dyDescent="0.25">
      <c r="A358" s="1" t="s">
        <v>328</v>
      </c>
      <c r="B358" s="11" t="e">
        <f t="shared" si="66"/>
        <v>#DIV/0!</v>
      </c>
      <c r="C358" s="1">
        <f t="shared" ref="C358:C359" si="69">SUM(D358:E358)</f>
        <v>0</v>
      </c>
      <c r="D358" s="4"/>
      <c r="E358" s="4"/>
    </row>
    <row r="359" spans="1:5" x14ac:dyDescent="0.25">
      <c r="A359" s="42" t="s">
        <v>329</v>
      </c>
      <c r="B359" s="11" t="e">
        <f t="shared" si="66"/>
        <v>#DIV/0!</v>
      </c>
      <c r="C359" s="1">
        <f t="shared" si="69"/>
        <v>0</v>
      </c>
      <c r="D359" s="4"/>
      <c r="E359" s="4"/>
    </row>
    <row r="360" spans="1:5" x14ac:dyDescent="0.25">
      <c r="C360" s="1">
        <f>SUM(C350:C359)</f>
        <v>0</v>
      </c>
      <c r="D360" s="1">
        <f t="shared" ref="D360:E360" si="70">SUM(D350:D359)</f>
        <v>0</v>
      </c>
      <c r="E360" s="1">
        <f t="shared" si="70"/>
        <v>0</v>
      </c>
    </row>
    <row r="361" spans="1:5" x14ac:dyDescent="0.25">
      <c r="A361" s="86" t="s">
        <v>289</v>
      </c>
      <c r="B361" s="87"/>
      <c r="C361" s="87"/>
      <c r="D361" s="87"/>
      <c r="E361" s="88"/>
    </row>
    <row r="362" spans="1:5" x14ac:dyDescent="0.25">
      <c r="A362" s="1"/>
      <c r="B362" s="6" t="s">
        <v>259</v>
      </c>
      <c r="C362" s="6" t="s">
        <v>6</v>
      </c>
      <c r="D362" s="6" t="s">
        <v>8</v>
      </c>
      <c r="E362" s="6" t="s">
        <v>7</v>
      </c>
    </row>
    <row r="363" spans="1:5" x14ac:dyDescent="0.25">
      <c r="A363" s="1" t="s">
        <v>343</v>
      </c>
      <c r="B363" s="11" t="e">
        <f>(C363/$C$368)*1</f>
        <v>#DIV/0!</v>
      </c>
      <c r="C363" s="1">
        <f>SUM(D363:E363)</f>
        <v>0</v>
      </c>
      <c r="D363" s="4"/>
      <c r="E363" s="4"/>
    </row>
    <row r="364" spans="1:5" x14ac:dyDescent="0.25">
      <c r="A364" s="1" t="s">
        <v>344</v>
      </c>
      <c r="B364" s="11" t="e">
        <f t="shared" ref="B364:B367" si="71">(C364/$C$368)*1</f>
        <v>#DIV/0!</v>
      </c>
      <c r="C364" s="1">
        <f t="shared" ref="C364:C365" si="72">SUM(D364:E364)</f>
        <v>0</v>
      </c>
      <c r="D364" s="4"/>
      <c r="E364" s="4"/>
    </row>
    <row r="365" spans="1:5" x14ac:dyDescent="0.25">
      <c r="A365" s="1" t="s">
        <v>345</v>
      </c>
      <c r="B365" s="11" t="e">
        <f t="shared" si="71"/>
        <v>#DIV/0!</v>
      </c>
      <c r="C365" s="1">
        <f t="shared" si="72"/>
        <v>0</v>
      </c>
      <c r="D365" s="4"/>
      <c r="E365" s="4"/>
    </row>
    <row r="366" spans="1:5" x14ac:dyDescent="0.25">
      <c r="A366" s="1" t="s">
        <v>346</v>
      </c>
      <c r="B366" s="11" t="e">
        <f t="shared" si="71"/>
        <v>#DIV/0!</v>
      </c>
      <c r="C366" s="1">
        <f>SUM(D366:E366)</f>
        <v>0</v>
      </c>
      <c r="D366" s="4"/>
      <c r="E366" s="4"/>
    </row>
    <row r="367" spans="1:5" x14ac:dyDescent="0.25">
      <c r="A367" s="1" t="s">
        <v>347</v>
      </c>
      <c r="B367" s="11" t="e">
        <f t="shared" si="71"/>
        <v>#DIV/0!</v>
      </c>
      <c r="C367" s="1">
        <f t="shared" ref="C367" si="73">SUM(D367:E367)</f>
        <v>0</v>
      </c>
      <c r="D367" s="4"/>
      <c r="E367" s="4"/>
    </row>
    <row r="368" spans="1:5" x14ac:dyDescent="0.25">
      <c r="A368" s="1"/>
      <c r="B368" s="11" t="e">
        <f>SUM(B363:B367)</f>
        <v>#DIV/0!</v>
      </c>
      <c r="C368" s="1">
        <f>SUM(C363:C367)</f>
        <v>0</v>
      </c>
      <c r="D368" s="1">
        <f>SUM(D363:D367)</f>
        <v>0</v>
      </c>
      <c r="E368" s="1">
        <f>SUM(E363:E367)</f>
        <v>0</v>
      </c>
    </row>
    <row r="371" spans="1:5" x14ac:dyDescent="0.25">
      <c r="A371" s="86" t="s">
        <v>290</v>
      </c>
      <c r="B371" s="87"/>
      <c r="C371" s="87"/>
      <c r="D371" s="87"/>
      <c r="E371" s="88"/>
    </row>
    <row r="372" spans="1:5" x14ac:dyDescent="0.25">
      <c r="A372" s="1"/>
      <c r="B372" s="6" t="s">
        <v>259</v>
      </c>
      <c r="C372" s="6" t="s">
        <v>6</v>
      </c>
      <c r="D372" s="6" t="s">
        <v>8</v>
      </c>
      <c r="E372" s="6" t="s">
        <v>7</v>
      </c>
    </row>
    <row r="373" spans="1:5" x14ac:dyDescent="0.25">
      <c r="A373" s="1" t="s">
        <v>348</v>
      </c>
      <c r="B373" s="11" t="e">
        <f>(C373/$C$376)*1</f>
        <v>#DIV/0!</v>
      </c>
      <c r="C373" s="1">
        <f>SUM(D373:E373)</f>
        <v>0</v>
      </c>
      <c r="D373" s="4"/>
      <c r="E373" s="4"/>
    </row>
    <row r="374" spans="1:5" x14ac:dyDescent="0.25">
      <c r="A374" s="1" t="s">
        <v>349</v>
      </c>
      <c r="B374" s="11" t="e">
        <f t="shared" ref="B374:B376" si="74">(C374/$C$376)*1</f>
        <v>#DIV/0!</v>
      </c>
      <c r="C374" s="1">
        <f t="shared" ref="C374:C375" si="75">SUM(D374:E374)</f>
        <v>0</v>
      </c>
      <c r="D374" s="4"/>
      <c r="E374" s="4"/>
    </row>
    <row r="375" spans="1:5" x14ac:dyDescent="0.25">
      <c r="A375" s="1" t="s">
        <v>350</v>
      </c>
      <c r="B375" s="11" t="e">
        <f t="shared" si="74"/>
        <v>#DIV/0!</v>
      </c>
      <c r="C375" s="1">
        <f t="shared" si="75"/>
        <v>0</v>
      </c>
      <c r="D375" s="4"/>
      <c r="E375" s="4"/>
    </row>
    <row r="376" spans="1:5" x14ac:dyDescent="0.25">
      <c r="A376" s="1"/>
      <c r="B376" s="11" t="e">
        <f t="shared" si="74"/>
        <v>#DIV/0!</v>
      </c>
      <c r="C376" s="1">
        <f>SUM(C373:C375)</f>
        <v>0</v>
      </c>
      <c r="D376" s="1">
        <f>SUM(D373:D375)</f>
        <v>0</v>
      </c>
      <c r="E376" s="1">
        <f>SUM(E373:E375)</f>
        <v>0</v>
      </c>
    </row>
    <row r="379" spans="1:5" x14ac:dyDescent="0.25">
      <c r="A379" s="86" t="s">
        <v>291</v>
      </c>
      <c r="B379" s="87"/>
      <c r="C379" s="87"/>
      <c r="D379" s="87"/>
      <c r="E379" s="88"/>
    </row>
    <row r="380" spans="1:5" x14ac:dyDescent="0.25">
      <c r="A380" s="1"/>
      <c r="B380" s="6" t="s">
        <v>259</v>
      </c>
      <c r="C380" s="6" t="s">
        <v>6</v>
      </c>
      <c r="D380" s="6" t="s">
        <v>8</v>
      </c>
      <c r="E380" s="6" t="s">
        <v>7</v>
      </c>
    </row>
    <row r="381" spans="1:5" x14ac:dyDescent="0.25">
      <c r="A381" s="1" t="s">
        <v>247</v>
      </c>
      <c r="B381" s="11" t="e">
        <f>(C381/$C$383)*1</f>
        <v>#DIV/0!</v>
      </c>
      <c r="C381" s="1">
        <f>SUM(D381:E381)</f>
        <v>0</v>
      </c>
      <c r="D381" s="4"/>
      <c r="E381" s="4"/>
    </row>
    <row r="382" spans="1:5" x14ac:dyDescent="0.25">
      <c r="A382" s="1" t="s">
        <v>292</v>
      </c>
      <c r="B382" s="11" t="e">
        <f t="shared" ref="B382:B383" si="76">(C382/$C$383)*1</f>
        <v>#DIV/0!</v>
      </c>
      <c r="C382" s="1">
        <f t="shared" ref="C382" si="77">SUM(D382:E382)</f>
        <v>0</v>
      </c>
      <c r="D382" s="4"/>
      <c r="E382" s="4"/>
    </row>
    <row r="383" spans="1:5" x14ac:dyDescent="0.25">
      <c r="A383" s="1"/>
      <c r="B383" s="11" t="e">
        <f t="shared" si="76"/>
        <v>#DIV/0!</v>
      </c>
      <c r="C383" s="1">
        <f>SUM(C381:C382)</f>
        <v>0</v>
      </c>
      <c r="D383" s="1">
        <f>SUM(D381:D382)</f>
        <v>0</v>
      </c>
      <c r="E383" s="1">
        <f>SUM(E381:E382)</f>
        <v>0</v>
      </c>
    </row>
    <row r="384" spans="1:5" x14ac:dyDescent="0.25">
      <c r="A384" s="76" t="s">
        <v>335</v>
      </c>
      <c r="B384" s="76"/>
      <c r="C384" s="76"/>
      <c r="D384" s="77"/>
    </row>
    <row r="385" spans="1:17" x14ac:dyDescent="0.25">
      <c r="A385" s="1"/>
      <c r="B385" s="6" t="s">
        <v>259</v>
      </c>
      <c r="C385" s="6" t="s">
        <v>6</v>
      </c>
      <c r="D385" s="6" t="s">
        <v>8</v>
      </c>
    </row>
    <row r="386" spans="1:17" x14ac:dyDescent="0.25">
      <c r="A386" s="1" t="s">
        <v>336</v>
      </c>
      <c r="B386" s="11" t="e">
        <f>(C386/$D$393)*1</f>
        <v>#DIV/0!</v>
      </c>
      <c r="C386" s="1">
        <f>D386</f>
        <v>0</v>
      </c>
      <c r="D386" s="4"/>
      <c r="G386" s="6" t="s">
        <v>271</v>
      </c>
    </row>
    <row r="387" spans="1:17" x14ac:dyDescent="0.25">
      <c r="A387" s="1" t="s">
        <v>337</v>
      </c>
      <c r="B387" s="11" t="e">
        <f t="shared" ref="B387:B392" si="78">(C387/$D$393)*1</f>
        <v>#DIV/0!</v>
      </c>
      <c r="C387" s="1">
        <f t="shared" ref="C387:C392" si="79">D387</f>
        <v>0</v>
      </c>
      <c r="D387" s="4"/>
      <c r="G387" s="1">
        <f>C383-D393</f>
        <v>0</v>
      </c>
    </row>
    <row r="388" spans="1:17" x14ac:dyDescent="0.25">
      <c r="A388" s="1" t="s">
        <v>338</v>
      </c>
      <c r="B388" s="11" t="e">
        <f t="shared" si="78"/>
        <v>#DIV/0!</v>
      </c>
      <c r="C388" s="1">
        <f t="shared" si="79"/>
        <v>0</v>
      </c>
      <c r="D388" s="4"/>
    </row>
    <row r="389" spans="1:17" x14ac:dyDescent="0.25">
      <c r="A389" s="1" t="s">
        <v>339</v>
      </c>
      <c r="B389" s="11" t="e">
        <f t="shared" si="78"/>
        <v>#DIV/0!</v>
      </c>
      <c r="C389" s="1">
        <f t="shared" si="79"/>
        <v>0</v>
      </c>
      <c r="D389" s="4"/>
    </row>
    <row r="390" spans="1:17" x14ac:dyDescent="0.25">
      <c r="A390" s="1" t="s">
        <v>340</v>
      </c>
      <c r="B390" s="11" t="e">
        <f t="shared" si="78"/>
        <v>#DIV/0!</v>
      </c>
      <c r="C390" s="1">
        <f t="shared" si="79"/>
        <v>0</v>
      </c>
      <c r="D390" s="4"/>
    </row>
    <row r="391" spans="1:17" x14ac:dyDescent="0.25">
      <c r="A391" s="1" t="s">
        <v>341</v>
      </c>
      <c r="B391" s="11" t="e">
        <f t="shared" si="78"/>
        <v>#DIV/0!</v>
      </c>
      <c r="C391" s="1">
        <f t="shared" si="79"/>
        <v>0</v>
      </c>
      <c r="D391" s="4"/>
    </row>
    <row r="392" spans="1:17" x14ac:dyDescent="0.25">
      <c r="A392" s="1" t="s">
        <v>342</v>
      </c>
      <c r="B392" s="11" t="e">
        <f t="shared" si="78"/>
        <v>#DIV/0!</v>
      </c>
      <c r="C392" s="1">
        <f t="shared" si="79"/>
        <v>0</v>
      </c>
      <c r="D392" s="4"/>
    </row>
    <row r="393" spans="1:17" x14ac:dyDescent="0.25">
      <c r="A393" s="56"/>
      <c r="B393" s="56"/>
      <c r="C393" s="56"/>
      <c r="D393" s="57">
        <f>SUM(D386:D392)</f>
        <v>0</v>
      </c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</row>
    <row r="394" spans="1:17" x14ac:dyDescent="0.25">
      <c r="A394" s="85" t="s">
        <v>293</v>
      </c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</row>
    <row r="396" spans="1:17" x14ac:dyDescent="0.25">
      <c r="A396" s="55" t="s">
        <v>294</v>
      </c>
      <c r="B396" s="55"/>
      <c r="C396" s="55"/>
      <c r="D396" s="55"/>
    </row>
    <row r="397" spans="1:17" x14ac:dyDescent="0.25">
      <c r="A397" s="1"/>
      <c r="B397" s="6" t="s">
        <v>259</v>
      </c>
      <c r="C397" s="6" t="s">
        <v>6</v>
      </c>
      <c r="D397" s="6" t="s">
        <v>7</v>
      </c>
    </row>
    <row r="398" spans="1:17" x14ac:dyDescent="0.25">
      <c r="A398" s="1" t="s">
        <v>351</v>
      </c>
      <c r="B398" s="11" t="e">
        <f>(C398/$D$403)*1</f>
        <v>#DIV/0!</v>
      </c>
      <c r="C398" s="50">
        <f>D398</f>
        <v>0</v>
      </c>
      <c r="D398" s="4"/>
    </row>
    <row r="399" spans="1:17" x14ac:dyDescent="0.25">
      <c r="A399" s="1" t="s">
        <v>250</v>
      </c>
      <c r="B399" s="11" t="e">
        <f t="shared" ref="B399:B402" si="80">(C399/$D$403)*1</f>
        <v>#DIV/0!</v>
      </c>
      <c r="C399" s="50">
        <f t="shared" ref="C399:C402" si="81">D399</f>
        <v>0</v>
      </c>
      <c r="D399" s="4"/>
    </row>
    <row r="400" spans="1:17" x14ac:dyDescent="0.25">
      <c r="A400" s="1" t="s">
        <v>352</v>
      </c>
      <c r="B400" s="11" t="e">
        <f t="shared" si="80"/>
        <v>#DIV/0!</v>
      </c>
      <c r="C400" s="50">
        <f t="shared" si="81"/>
        <v>0</v>
      </c>
      <c r="D400" s="4"/>
    </row>
    <row r="401" spans="1:4" x14ac:dyDescent="0.25">
      <c r="A401" s="1" t="s">
        <v>353</v>
      </c>
      <c r="B401" s="11" t="e">
        <f t="shared" si="80"/>
        <v>#DIV/0!</v>
      </c>
      <c r="C401" s="50">
        <f t="shared" si="81"/>
        <v>0</v>
      </c>
      <c r="D401" s="4"/>
    </row>
    <row r="402" spans="1:4" x14ac:dyDescent="0.25">
      <c r="A402" s="32" t="s">
        <v>354</v>
      </c>
      <c r="B402" s="11" t="e">
        <f t="shared" si="80"/>
        <v>#DIV/0!</v>
      </c>
      <c r="C402" s="50">
        <f t="shared" si="81"/>
        <v>0</v>
      </c>
      <c r="D402" s="4"/>
    </row>
    <row r="403" spans="1:4" x14ac:dyDescent="0.25">
      <c r="A403" s="1"/>
      <c r="B403" s="1"/>
      <c r="C403" s="1"/>
      <c r="D403" s="1">
        <f>SUM(D398:D402)</f>
        <v>0</v>
      </c>
    </row>
    <row r="404" spans="1:4" x14ac:dyDescent="0.25">
      <c r="A404" s="79" t="s">
        <v>295</v>
      </c>
      <c r="B404" s="79"/>
      <c r="C404" s="79"/>
      <c r="D404" s="79"/>
    </row>
    <row r="405" spans="1:4" x14ac:dyDescent="0.25">
      <c r="A405" s="1"/>
      <c r="B405" s="6" t="s">
        <v>259</v>
      </c>
      <c r="C405" s="6" t="s">
        <v>6</v>
      </c>
      <c r="D405" s="6" t="s">
        <v>7</v>
      </c>
    </row>
    <row r="406" spans="1:4" x14ac:dyDescent="0.25">
      <c r="A406" s="1" t="s">
        <v>247</v>
      </c>
      <c r="B406" s="11" t="e">
        <f>(C406/$C$408)*1</f>
        <v>#DIV/0!</v>
      </c>
      <c r="C406" s="1">
        <f>SUM(D406:E406)</f>
        <v>0</v>
      </c>
      <c r="D406" s="4"/>
    </row>
    <row r="407" spans="1:4" x14ac:dyDescent="0.25">
      <c r="A407" s="1" t="s">
        <v>292</v>
      </c>
      <c r="B407" s="11" t="e">
        <f>(C407/$C$408)*1</f>
        <v>#DIV/0!</v>
      </c>
      <c r="C407" s="1">
        <f t="shared" ref="C407" si="82">SUM(D407:E407)</f>
        <v>0</v>
      </c>
      <c r="D407" s="4"/>
    </row>
    <row r="408" spans="1:4" x14ac:dyDescent="0.25">
      <c r="A408" s="1"/>
      <c r="B408" s="11" t="e">
        <f>SUM(B406:B407)</f>
        <v>#DIV/0!</v>
      </c>
      <c r="C408" s="1">
        <f>SUM(C406:C407)</f>
        <v>0</v>
      </c>
      <c r="D408" s="1">
        <f>SUM(D406:D407)</f>
        <v>0</v>
      </c>
    </row>
    <row r="411" spans="1:4" x14ac:dyDescent="0.25">
      <c r="A411" s="79" t="s">
        <v>296</v>
      </c>
      <c r="B411" s="79"/>
      <c r="C411" s="79"/>
      <c r="D411" s="79"/>
    </row>
    <row r="412" spans="1:4" x14ac:dyDescent="0.25">
      <c r="A412" s="1"/>
      <c r="B412" s="6" t="s">
        <v>259</v>
      </c>
      <c r="C412" s="6" t="s">
        <v>6</v>
      </c>
      <c r="D412" s="6" t="s">
        <v>7</v>
      </c>
    </row>
    <row r="413" spans="1:4" x14ac:dyDescent="0.25">
      <c r="A413" s="1" t="s">
        <v>247</v>
      </c>
      <c r="B413" s="11" t="e">
        <f>(C413/$C$415)*1</f>
        <v>#DIV/0!</v>
      </c>
      <c r="C413" s="1">
        <f>SUM(D413:E413)</f>
        <v>0</v>
      </c>
      <c r="D413" s="4"/>
    </row>
    <row r="414" spans="1:4" x14ac:dyDescent="0.25">
      <c r="A414" s="1" t="s">
        <v>292</v>
      </c>
      <c r="B414" s="11" t="e">
        <f>(C414/$C$415)*1</f>
        <v>#DIV/0!</v>
      </c>
      <c r="C414" s="1">
        <f t="shared" ref="C414" si="83">SUM(D414:E414)</f>
        <v>0</v>
      </c>
      <c r="D414" s="4"/>
    </row>
    <row r="415" spans="1:4" x14ac:dyDescent="0.25">
      <c r="A415" s="1"/>
      <c r="B415" s="11" t="e">
        <f>SUM(B413:B414)</f>
        <v>#DIV/0!</v>
      </c>
      <c r="C415" s="1">
        <f>SUM(C413:C414)</f>
        <v>0</v>
      </c>
      <c r="D415" s="1">
        <f>SUM(D413:D414)</f>
        <v>0</v>
      </c>
    </row>
    <row r="418" spans="1:4" x14ac:dyDescent="0.25">
      <c r="A418" s="80" t="s">
        <v>297</v>
      </c>
      <c r="B418" s="80"/>
      <c r="C418" s="80"/>
      <c r="D418" s="80"/>
    </row>
    <row r="419" spans="1:4" x14ac:dyDescent="0.25">
      <c r="A419" s="1"/>
      <c r="B419" s="6" t="s">
        <v>259</v>
      </c>
      <c r="C419" s="6" t="s">
        <v>6</v>
      </c>
      <c r="D419" s="6" t="s">
        <v>7</v>
      </c>
    </row>
    <row r="420" spans="1:4" x14ac:dyDescent="0.25">
      <c r="A420" s="1" t="s">
        <v>247</v>
      </c>
      <c r="B420" s="11" t="e">
        <f>(C420/$C$422)*1</f>
        <v>#DIV/0!</v>
      </c>
      <c r="C420" s="1">
        <f>SUM(D420:E420)</f>
        <v>0</v>
      </c>
      <c r="D420" s="4"/>
    </row>
    <row r="421" spans="1:4" x14ac:dyDescent="0.25">
      <c r="A421" s="1" t="s">
        <v>292</v>
      </c>
      <c r="B421" s="11" t="e">
        <f>(C421/$C$422)*1</f>
        <v>#DIV/0!</v>
      </c>
      <c r="C421" s="1">
        <f t="shared" ref="C421" si="84">SUM(D421:E421)</f>
        <v>0</v>
      </c>
      <c r="D421" s="4"/>
    </row>
    <row r="422" spans="1:4" x14ac:dyDescent="0.25">
      <c r="A422" s="1"/>
      <c r="B422" s="11" t="e">
        <f>SUM(B420:B421)</f>
        <v>#DIV/0!</v>
      </c>
      <c r="C422" s="1">
        <f>SUM(C420:C421)</f>
        <v>0</v>
      </c>
      <c r="D422" s="1">
        <f>SUM(D420:D421)</f>
        <v>0</v>
      </c>
    </row>
  </sheetData>
  <mergeCells count="79">
    <mergeCell ref="I62:J62"/>
    <mergeCell ref="E62:E78"/>
    <mergeCell ref="A122:E122"/>
    <mergeCell ref="A164:C164"/>
    <mergeCell ref="C58:D58"/>
    <mergeCell ref="A58:B58"/>
    <mergeCell ref="A62:B62"/>
    <mergeCell ref="C62:D62"/>
    <mergeCell ref="G62:H62"/>
    <mergeCell ref="F122:F140"/>
    <mergeCell ref="G122:L122"/>
    <mergeCell ref="B145:C145"/>
    <mergeCell ref="A144:C144"/>
    <mergeCell ref="A149:B149"/>
    <mergeCell ref="A163:K163"/>
    <mergeCell ref="G6:I6"/>
    <mergeCell ref="A6:E6"/>
    <mergeCell ref="A27:F27"/>
    <mergeCell ref="A37:F37"/>
    <mergeCell ref="A50:F50"/>
    <mergeCell ref="M122:M139"/>
    <mergeCell ref="A81:C81"/>
    <mergeCell ref="A82:C82"/>
    <mergeCell ref="C83:C86"/>
    <mergeCell ref="A91:C91"/>
    <mergeCell ref="A90:C90"/>
    <mergeCell ref="A95:C95"/>
    <mergeCell ref="D95:D116"/>
    <mergeCell ref="A195:C195"/>
    <mergeCell ref="A222:C222"/>
    <mergeCell ref="T246:T263"/>
    <mergeCell ref="W246:W263"/>
    <mergeCell ref="Z246:Z263"/>
    <mergeCell ref="F238:G238"/>
    <mergeCell ref="N246:N263"/>
    <mergeCell ref="H246:H263"/>
    <mergeCell ref="K246:K263"/>
    <mergeCell ref="Q246:Q263"/>
    <mergeCell ref="BV246:BV263"/>
    <mergeCell ref="BY246:BY263"/>
    <mergeCell ref="A280:Q280"/>
    <mergeCell ref="A289:C289"/>
    <mergeCell ref="BD246:BD263"/>
    <mergeCell ref="BG246:BG263"/>
    <mergeCell ref="BJ246:BJ263"/>
    <mergeCell ref="BM246:BM263"/>
    <mergeCell ref="BP246:BP263"/>
    <mergeCell ref="BS246:BS263"/>
    <mergeCell ref="AL246:AL263"/>
    <mergeCell ref="AO246:AO263"/>
    <mergeCell ref="AR246:AR263"/>
    <mergeCell ref="AU246:AU263"/>
    <mergeCell ref="AX246:AX263"/>
    <mergeCell ref="AI246:AI263"/>
    <mergeCell ref="A5:O5"/>
    <mergeCell ref="A379:E379"/>
    <mergeCell ref="A371:E371"/>
    <mergeCell ref="A394:Q394"/>
    <mergeCell ref="A404:D404"/>
    <mergeCell ref="A312:E312"/>
    <mergeCell ref="A334:E334"/>
    <mergeCell ref="A348:E348"/>
    <mergeCell ref="A361:E361"/>
    <mergeCell ref="B298:C298"/>
    <mergeCell ref="D298:E298"/>
    <mergeCell ref="F178:Q178"/>
    <mergeCell ref="A235:P235"/>
    <mergeCell ref="A237:D237"/>
    <mergeCell ref="E241:E254"/>
    <mergeCell ref="F298:G298"/>
    <mergeCell ref="A384:D384"/>
    <mergeCell ref="BA246:BA263"/>
    <mergeCell ref="A411:D411"/>
    <mergeCell ref="A418:D418"/>
    <mergeCell ref="AF246:AF263"/>
    <mergeCell ref="AC246:AC263"/>
    <mergeCell ref="H298:I298"/>
    <mergeCell ref="J298:K298"/>
    <mergeCell ref="L298:M298"/>
  </mergeCells>
  <phoneticPr fontId="6" type="noConversion"/>
  <pageMargins left="0.7" right="0.7" top="0.75" bottom="0.75" header="0.3" footer="0.3"/>
  <ignoredErrors>
    <ignoredError sqref="F190:F19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C7A3-D933-43A9-9CC1-97BE5753C469}">
  <dimension ref="A1:G40"/>
  <sheetViews>
    <sheetView zoomScale="85" zoomScaleNormal="85" workbookViewId="0">
      <selection activeCell="I31" sqref="I31"/>
    </sheetView>
  </sheetViews>
  <sheetFormatPr baseColWidth="10" defaultRowHeight="15" x14ac:dyDescent="0.25"/>
  <cols>
    <col min="1" max="1" width="11.28515625" customWidth="1"/>
  </cols>
  <sheetData>
    <row r="1" spans="1:7" x14ac:dyDescent="0.25">
      <c r="A1" s="65" t="s">
        <v>548</v>
      </c>
      <c r="B1" s="65" t="s">
        <v>549</v>
      </c>
      <c r="C1" s="65" t="s">
        <v>553</v>
      </c>
      <c r="D1" s="65" t="s">
        <v>218</v>
      </c>
      <c r="E1" s="65" t="s">
        <v>552</v>
      </c>
      <c r="F1" s="65" t="s">
        <v>550</v>
      </c>
      <c r="G1" s="65" t="s">
        <v>551</v>
      </c>
    </row>
    <row r="2" spans="1:7" x14ac:dyDescent="0.25">
      <c r="A2" s="1"/>
      <c r="B2" s="6"/>
      <c r="C2" s="6"/>
      <c r="D2" s="11"/>
      <c r="E2" s="66"/>
      <c r="F2" s="1"/>
      <c r="G2" s="1"/>
    </row>
    <row r="3" spans="1:7" x14ac:dyDescent="0.25">
      <c r="A3" s="1"/>
      <c r="B3" s="6"/>
      <c r="C3" s="6"/>
      <c r="D3" s="11"/>
      <c r="E3" s="66"/>
      <c r="F3" s="1"/>
      <c r="G3" s="1"/>
    </row>
    <row r="4" spans="1:7" x14ac:dyDescent="0.25">
      <c r="A4" s="1"/>
      <c r="B4" s="6"/>
      <c r="C4" s="6"/>
      <c r="D4" s="11"/>
      <c r="E4" s="66"/>
      <c r="F4" s="1"/>
      <c r="G4" s="1"/>
    </row>
    <row r="5" spans="1:7" x14ac:dyDescent="0.25">
      <c r="A5" s="1"/>
      <c r="B5" s="6"/>
      <c r="C5" s="6"/>
      <c r="D5" s="11"/>
      <c r="E5" s="66"/>
      <c r="F5" s="1"/>
      <c r="G5" s="1"/>
    </row>
    <row r="6" spans="1:7" x14ac:dyDescent="0.25">
      <c r="A6" s="1"/>
      <c r="B6" s="6"/>
      <c r="C6" s="6"/>
      <c r="D6" s="11"/>
      <c r="E6" s="66"/>
      <c r="F6" s="1"/>
      <c r="G6" s="1"/>
    </row>
    <row r="7" spans="1:7" x14ac:dyDescent="0.25">
      <c r="A7" s="1"/>
      <c r="B7" s="6"/>
      <c r="C7" s="6"/>
      <c r="D7" s="11"/>
      <c r="E7" s="66"/>
      <c r="F7" s="1"/>
      <c r="G7" s="1"/>
    </row>
    <row r="8" spans="1:7" x14ac:dyDescent="0.25">
      <c r="A8" s="1"/>
      <c r="B8" s="6"/>
      <c r="C8" s="6"/>
      <c r="D8" s="11"/>
      <c r="E8" s="66"/>
      <c r="F8" s="1"/>
      <c r="G8" s="1"/>
    </row>
    <row r="9" spans="1:7" x14ac:dyDescent="0.25">
      <c r="A9" s="1"/>
      <c r="B9" s="6"/>
      <c r="C9" s="6"/>
      <c r="D9" s="11"/>
      <c r="E9" s="66"/>
      <c r="F9" s="1"/>
      <c r="G9" s="1"/>
    </row>
    <row r="10" spans="1:7" x14ac:dyDescent="0.25">
      <c r="A10" s="1"/>
      <c r="B10" s="6"/>
      <c r="C10" s="6"/>
      <c r="D10" s="11"/>
      <c r="E10" s="66"/>
      <c r="F10" s="1"/>
      <c r="G10" s="1"/>
    </row>
    <row r="11" spans="1:7" x14ac:dyDescent="0.25">
      <c r="A11" s="1"/>
      <c r="B11" s="6"/>
      <c r="C11" s="6"/>
      <c r="D11" s="11"/>
      <c r="E11" s="66"/>
      <c r="F11" s="1"/>
      <c r="G11" s="1"/>
    </row>
    <row r="12" spans="1:7" x14ac:dyDescent="0.25">
      <c r="A12" s="1"/>
      <c r="B12" s="6"/>
      <c r="C12" s="6"/>
      <c r="D12" s="11"/>
      <c r="E12" s="66"/>
      <c r="F12" s="1"/>
      <c r="G12" s="1"/>
    </row>
    <row r="13" spans="1:7" x14ac:dyDescent="0.25">
      <c r="A13" s="1"/>
      <c r="B13" s="6"/>
      <c r="C13" s="6"/>
      <c r="D13" s="11"/>
      <c r="E13" s="66"/>
      <c r="F13" s="1"/>
      <c r="G13" s="1"/>
    </row>
    <row r="14" spans="1:7" x14ac:dyDescent="0.25">
      <c r="A14" s="1"/>
      <c r="B14" s="6"/>
      <c r="C14" s="6"/>
      <c r="D14" s="11"/>
      <c r="E14" s="66"/>
      <c r="F14" s="1"/>
      <c r="G14" s="1"/>
    </row>
    <row r="15" spans="1:7" x14ac:dyDescent="0.25">
      <c r="A15" s="1"/>
      <c r="B15" s="6"/>
      <c r="C15" s="6"/>
      <c r="D15" s="11"/>
      <c r="E15" s="66"/>
      <c r="F15" s="1"/>
      <c r="G15" s="1"/>
    </row>
    <row r="16" spans="1:7" x14ac:dyDescent="0.25">
      <c r="A16" s="1"/>
      <c r="B16" s="6"/>
      <c r="C16" s="6"/>
      <c r="D16" s="11"/>
      <c r="E16" s="66"/>
      <c r="F16" s="1"/>
      <c r="G16" s="1"/>
    </row>
    <row r="17" spans="1:7" x14ac:dyDescent="0.25">
      <c r="A17" s="1"/>
      <c r="B17" s="6"/>
      <c r="C17" s="6"/>
      <c r="D17" s="11"/>
      <c r="E17" s="66"/>
      <c r="F17" s="1"/>
      <c r="G17" s="1"/>
    </row>
    <row r="18" spans="1:7" x14ac:dyDescent="0.25">
      <c r="A18" s="1"/>
      <c r="B18" s="6"/>
      <c r="C18" s="6"/>
      <c r="D18" s="11"/>
      <c r="E18" s="66"/>
      <c r="F18" s="1"/>
      <c r="G18" s="1"/>
    </row>
    <row r="19" spans="1:7" x14ac:dyDescent="0.25">
      <c r="A19" s="1"/>
      <c r="B19" s="6"/>
      <c r="C19" s="6"/>
      <c r="D19" s="11"/>
      <c r="E19" s="66"/>
      <c r="F19" s="1"/>
      <c r="G19" s="1"/>
    </row>
    <row r="20" spans="1:7" x14ac:dyDescent="0.25">
      <c r="A20" s="1"/>
      <c r="B20" s="6"/>
      <c r="C20" s="6"/>
      <c r="D20" s="11"/>
      <c r="E20" s="66"/>
      <c r="F20" s="1"/>
      <c r="G20" s="1"/>
    </row>
    <row r="21" spans="1:7" x14ac:dyDescent="0.25">
      <c r="A21" s="1"/>
      <c r="B21" s="6"/>
      <c r="C21" s="6"/>
      <c r="D21" s="11"/>
      <c r="E21" s="66"/>
      <c r="F21" s="1"/>
      <c r="G21" s="1"/>
    </row>
    <row r="22" spans="1:7" x14ac:dyDescent="0.25">
      <c r="A22" s="1"/>
      <c r="B22" s="6"/>
      <c r="C22" s="6"/>
      <c r="D22" s="11"/>
      <c r="E22" s="66"/>
      <c r="F22" s="1"/>
      <c r="G22" s="1"/>
    </row>
    <row r="23" spans="1:7" x14ac:dyDescent="0.25">
      <c r="A23" s="1"/>
      <c r="B23" s="6"/>
      <c r="C23" s="6"/>
      <c r="D23" s="11"/>
      <c r="E23" s="66"/>
      <c r="F23" s="1"/>
      <c r="G23" s="1"/>
    </row>
    <row r="24" spans="1:7" x14ac:dyDescent="0.25">
      <c r="A24" s="1"/>
      <c r="B24" s="6"/>
      <c r="C24" s="6"/>
      <c r="D24" s="11"/>
      <c r="E24" s="66"/>
      <c r="F24" s="1"/>
      <c r="G24" s="1"/>
    </row>
    <row r="25" spans="1:7" x14ac:dyDescent="0.25">
      <c r="A25" s="1"/>
      <c r="B25" s="6"/>
      <c r="C25" s="6"/>
      <c r="D25" s="11"/>
      <c r="E25" s="66"/>
      <c r="F25" s="1"/>
      <c r="G25" s="1"/>
    </row>
    <row r="26" spans="1:7" x14ac:dyDescent="0.25">
      <c r="A26" s="64"/>
      <c r="B26" s="6"/>
      <c r="C26" s="6"/>
      <c r="D26" s="32"/>
      <c r="E26" s="60"/>
      <c r="F26" s="1"/>
      <c r="G26" s="1"/>
    </row>
    <row r="27" spans="1:7" x14ac:dyDescent="0.25">
      <c r="A27" s="64"/>
      <c r="B27" s="6"/>
      <c r="C27" s="6"/>
      <c r="D27" s="32"/>
      <c r="E27" s="60"/>
      <c r="F27" s="1"/>
      <c r="G27" s="1"/>
    </row>
    <row r="28" spans="1:7" x14ac:dyDescent="0.25">
      <c r="A28" s="64"/>
      <c r="B28" s="6"/>
      <c r="C28" s="6"/>
      <c r="D28" s="32"/>
      <c r="E28" s="60"/>
      <c r="F28" s="1"/>
      <c r="G28" s="1"/>
    </row>
    <row r="29" spans="1:7" x14ac:dyDescent="0.25">
      <c r="A29" s="64"/>
      <c r="B29" s="6"/>
      <c r="C29" s="6"/>
      <c r="D29" s="32"/>
      <c r="E29" s="60"/>
      <c r="F29" s="1"/>
      <c r="G29" s="1"/>
    </row>
    <row r="30" spans="1:7" x14ac:dyDescent="0.25">
      <c r="A30" s="64"/>
      <c r="B30" s="6"/>
      <c r="C30" s="6"/>
      <c r="D30" s="32"/>
      <c r="E30" s="60"/>
      <c r="F30" s="1"/>
      <c r="G30" s="1"/>
    </row>
    <row r="31" spans="1:7" x14ac:dyDescent="0.25">
      <c r="A31" s="64"/>
      <c r="B31" s="6"/>
      <c r="C31" s="6"/>
      <c r="D31" s="32"/>
      <c r="E31" s="60"/>
      <c r="F31" s="1"/>
      <c r="G31" s="1"/>
    </row>
    <row r="32" spans="1:7" x14ac:dyDescent="0.25">
      <c r="A32" s="63"/>
      <c r="B32" s="61"/>
      <c r="C32" s="61"/>
      <c r="D32" s="61"/>
      <c r="E32" s="62"/>
    </row>
    <row r="33" spans="1:5" x14ac:dyDescent="0.25">
      <c r="A33" s="63"/>
      <c r="B33" s="61"/>
      <c r="C33" s="61"/>
      <c r="D33" s="61"/>
      <c r="E33" s="62"/>
    </row>
    <row r="34" spans="1:5" x14ac:dyDescent="0.25">
      <c r="A34" s="63"/>
      <c r="B34" s="61"/>
      <c r="C34" s="61"/>
      <c r="D34" s="61"/>
      <c r="E34" s="62"/>
    </row>
    <row r="35" spans="1:5" x14ac:dyDescent="0.25">
      <c r="A35" s="63"/>
      <c r="B35" s="61"/>
      <c r="C35" s="61"/>
      <c r="D35" s="61"/>
      <c r="E35" s="62"/>
    </row>
    <row r="36" spans="1:5" x14ac:dyDescent="0.25">
      <c r="A36" s="63"/>
      <c r="B36" s="61"/>
      <c r="C36" s="61"/>
      <c r="D36" s="61"/>
      <c r="E36" s="62"/>
    </row>
    <row r="37" spans="1:5" x14ac:dyDescent="0.25">
      <c r="A37" s="63"/>
      <c r="B37" s="61"/>
      <c r="C37" s="61"/>
      <c r="D37" s="61"/>
      <c r="E37" s="62"/>
    </row>
    <row r="38" spans="1:5" x14ac:dyDescent="0.25">
      <c r="A38" s="63"/>
      <c r="B38" s="61"/>
      <c r="C38" s="61"/>
      <c r="D38" s="61"/>
      <c r="E38" s="62"/>
    </row>
    <row r="39" spans="1:5" x14ac:dyDescent="0.25">
      <c r="A39" s="63"/>
      <c r="B39" s="61"/>
      <c r="C39" s="61"/>
      <c r="D39" s="61"/>
      <c r="E39" s="62"/>
    </row>
    <row r="40" spans="1:5" x14ac:dyDescent="0.25">
      <c r="A40" s="63"/>
      <c r="B40" s="61"/>
      <c r="C40" s="61"/>
      <c r="D40" s="61"/>
      <c r="E40" s="6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C69E-D6DC-4BCF-92A3-38D6364CFEC2}">
  <dimension ref="A2:B257"/>
  <sheetViews>
    <sheetView workbookViewId="0">
      <selection activeCell="L19" sqref="L19"/>
    </sheetView>
  </sheetViews>
  <sheetFormatPr baseColWidth="10" defaultRowHeight="15" x14ac:dyDescent="0.25"/>
  <cols>
    <col min="1" max="1" width="23.140625" customWidth="1"/>
  </cols>
  <sheetData>
    <row r="2" spans="1:2" x14ac:dyDescent="0.25">
      <c r="A2" s="4" t="s">
        <v>43</v>
      </c>
      <c r="B2" s="16" t="s">
        <v>43</v>
      </c>
    </row>
    <row r="3" spans="1:2" x14ac:dyDescent="0.25">
      <c r="A3" s="1" t="s">
        <v>57</v>
      </c>
      <c r="B3" s="16" t="s">
        <v>57</v>
      </c>
    </row>
    <row r="4" spans="1:2" x14ac:dyDescent="0.25">
      <c r="A4" s="1" t="s">
        <v>58</v>
      </c>
      <c r="B4" s="16" t="s">
        <v>58</v>
      </c>
    </row>
    <row r="5" spans="1:2" x14ac:dyDescent="0.25">
      <c r="A5" s="1" t="s">
        <v>59</v>
      </c>
      <c r="B5" s="16" t="s">
        <v>59</v>
      </c>
    </row>
    <row r="6" spans="1:2" x14ac:dyDescent="0.25">
      <c r="A6" s="1" t="s">
        <v>60</v>
      </c>
      <c r="B6" s="16" t="s">
        <v>60</v>
      </c>
    </row>
    <row r="7" spans="1:2" x14ac:dyDescent="0.25">
      <c r="A7" s="1" t="s">
        <v>61</v>
      </c>
      <c r="B7" s="16" t="s">
        <v>61</v>
      </c>
    </row>
    <row r="8" spans="1:2" x14ac:dyDescent="0.25">
      <c r="A8" s="1" t="s">
        <v>62</v>
      </c>
      <c r="B8" s="16" t="s">
        <v>62</v>
      </c>
    </row>
    <row r="9" spans="1:2" x14ac:dyDescent="0.25">
      <c r="A9" s="1" t="s">
        <v>63</v>
      </c>
      <c r="B9" s="16" t="s">
        <v>63</v>
      </c>
    </row>
    <row r="10" spans="1:2" x14ac:dyDescent="0.25">
      <c r="A10" s="1" t="s">
        <v>556</v>
      </c>
      <c r="B10" s="16" t="s">
        <v>556</v>
      </c>
    </row>
    <row r="11" spans="1:2" x14ac:dyDescent="0.25">
      <c r="A11" s="1" t="s">
        <v>64</v>
      </c>
      <c r="B11" s="16" t="s">
        <v>64</v>
      </c>
    </row>
    <row r="12" spans="1:2" x14ac:dyDescent="0.25">
      <c r="A12" s="1" t="s">
        <v>65</v>
      </c>
      <c r="B12" s="16" t="s">
        <v>65</v>
      </c>
    </row>
    <row r="13" spans="1:2" x14ac:dyDescent="0.25">
      <c r="A13" s="1" t="s">
        <v>66</v>
      </c>
      <c r="B13" s="16" t="s">
        <v>66</v>
      </c>
    </row>
    <row r="14" spans="1:2" x14ac:dyDescent="0.25">
      <c r="A14" s="1" t="s">
        <v>67</v>
      </c>
      <c r="B14" s="16" t="s">
        <v>67</v>
      </c>
    </row>
    <row r="15" spans="1:2" x14ac:dyDescent="0.25">
      <c r="A15" s="1" t="s">
        <v>68</v>
      </c>
      <c r="B15" s="16" t="s">
        <v>68</v>
      </c>
    </row>
    <row r="16" spans="1:2" x14ac:dyDescent="0.25">
      <c r="A16" s="1" t="s">
        <v>69</v>
      </c>
      <c r="B16" s="16" t="s">
        <v>69</v>
      </c>
    </row>
    <row r="17" spans="1:2" x14ac:dyDescent="0.25">
      <c r="A17" s="1" t="s">
        <v>70</v>
      </c>
      <c r="B17" s="16" t="s">
        <v>70</v>
      </c>
    </row>
    <row r="18" spans="1:2" x14ac:dyDescent="0.25">
      <c r="A18" s="1" t="s">
        <v>71</v>
      </c>
      <c r="B18" s="16" t="s">
        <v>71</v>
      </c>
    </row>
    <row r="19" spans="1:2" x14ac:dyDescent="0.25">
      <c r="A19" s="1" t="s">
        <v>557</v>
      </c>
      <c r="B19" s="16" t="s">
        <v>557</v>
      </c>
    </row>
    <row r="20" spans="1:2" x14ac:dyDescent="0.25">
      <c r="A20" s="1" t="s">
        <v>558</v>
      </c>
      <c r="B20" s="16" t="s">
        <v>558</v>
      </c>
    </row>
    <row r="21" spans="1:2" x14ac:dyDescent="0.25">
      <c r="A21" s="1" t="s">
        <v>72</v>
      </c>
      <c r="B21" s="16" t="s">
        <v>72</v>
      </c>
    </row>
    <row r="22" spans="1:2" x14ac:dyDescent="0.25">
      <c r="A22" s="1" t="s">
        <v>559</v>
      </c>
      <c r="B22" s="16" t="s">
        <v>559</v>
      </c>
    </row>
    <row r="23" spans="1:2" x14ac:dyDescent="0.25">
      <c r="A23" s="1" t="s">
        <v>73</v>
      </c>
      <c r="B23" s="16" t="s">
        <v>73</v>
      </c>
    </row>
    <row r="24" spans="1:2" x14ac:dyDescent="0.25">
      <c r="A24" s="1" t="s">
        <v>74</v>
      </c>
      <c r="B24" s="16" t="s">
        <v>74</v>
      </c>
    </row>
    <row r="25" spans="1:2" x14ac:dyDescent="0.25">
      <c r="A25" s="1" t="s">
        <v>75</v>
      </c>
      <c r="B25" s="16" t="s">
        <v>75</v>
      </c>
    </row>
    <row r="26" spans="1:2" x14ac:dyDescent="0.25">
      <c r="A26" s="1" t="s">
        <v>560</v>
      </c>
      <c r="B26" s="16" t="s">
        <v>560</v>
      </c>
    </row>
    <row r="27" spans="1:2" x14ac:dyDescent="0.25">
      <c r="A27" s="1" t="s">
        <v>76</v>
      </c>
      <c r="B27" s="16" t="s">
        <v>76</v>
      </c>
    </row>
    <row r="28" spans="1:2" x14ac:dyDescent="0.25">
      <c r="A28" s="1" t="s">
        <v>77</v>
      </c>
      <c r="B28" s="16" t="s">
        <v>77</v>
      </c>
    </row>
    <row r="29" spans="1:2" x14ac:dyDescent="0.25">
      <c r="A29" s="1" t="s">
        <v>561</v>
      </c>
      <c r="B29" s="16" t="s">
        <v>561</v>
      </c>
    </row>
    <row r="30" spans="1:2" x14ac:dyDescent="0.25">
      <c r="A30" s="1" t="s">
        <v>78</v>
      </c>
      <c r="B30" s="16" t="s">
        <v>78</v>
      </c>
    </row>
    <row r="31" spans="1:2" x14ac:dyDescent="0.25">
      <c r="A31" s="1" t="s">
        <v>79</v>
      </c>
      <c r="B31" s="16" t="s">
        <v>79</v>
      </c>
    </row>
    <row r="32" spans="1:2" x14ac:dyDescent="0.25">
      <c r="A32" s="1" t="s">
        <v>562</v>
      </c>
      <c r="B32" s="16" t="s">
        <v>562</v>
      </c>
    </row>
    <row r="33" spans="1:2" x14ac:dyDescent="0.25">
      <c r="A33" s="1" t="s">
        <v>80</v>
      </c>
      <c r="B33" s="16" t="s">
        <v>80</v>
      </c>
    </row>
    <row r="34" spans="1:2" x14ac:dyDescent="0.25">
      <c r="A34" s="1" t="s">
        <v>81</v>
      </c>
      <c r="B34" s="16" t="s">
        <v>81</v>
      </c>
    </row>
    <row r="35" spans="1:2" x14ac:dyDescent="0.25">
      <c r="A35" s="1" t="s">
        <v>82</v>
      </c>
      <c r="B35" s="16" t="s">
        <v>82</v>
      </c>
    </row>
    <row r="36" spans="1:2" x14ac:dyDescent="0.25">
      <c r="A36" s="1" t="s">
        <v>83</v>
      </c>
      <c r="B36" s="16" t="s">
        <v>83</v>
      </c>
    </row>
    <row r="37" spans="1:2" x14ac:dyDescent="0.25">
      <c r="A37" s="1" t="s">
        <v>563</v>
      </c>
      <c r="B37" s="16" t="s">
        <v>563</v>
      </c>
    </row>
    <row r="38" spans="1:2" x14ac:dyDescent="0.25">
      <c r="A38" s="1" t="s">
        <v>564</v>
      </c>
      <c r="B38" s="16" t="s">
        <v>564</v>
      </c>
    </row>
    <row r="39" spans="1:2" x14ac:dyDescent="0.25">
      <c r="A39" s="1" t="s">
        <v>84</v>
      </c>
      <c r="B39" s="16" t="s">
        <v>84</v>
      </c>
    </row>
    <row r="40" spans="1:2" x14ac:dyDescent="0.25">
      <c r="A40" s="1" t="s">
        <v>85</v>
      </c>
      <c r="B40" s="16" t="s">
        <v>85</v>
      </c>
    </row>
    <row r="41" spans="1:2" x14ac:dyDescent="0.25">
      <c r="A41" s="1" t="s">
        <v>565</v>
      </c>
      <c r="B41" s="16" t="s">
        <v>565</v>
      </c>
    </row>
    <row r="42" spans="1:2" x14ac:dyDescent="0.25">
      <c r="A42" s="1" t="s">
        <v>86</v>
      </c>
      <c r="B42" s="16" t="s">
        <v>86</v>
      </c>
    </row>
    <row r="43" spans="1:2" x14ac:dyDescent="0.25">
      <c r="A43" s="1" t="s">
        <v>87</v>
      </c>
      <c r="B43" s="16" t="s">
        <v>87</v>
      </c>
    </row>
    <row r="44" spans="1:2" x14ac:dyDescent="0.25">
      <c r="A44" s="1" t="s">
        <v>88</v>
      </c>
      <c r="B44" s="16" t="s">
        <v>88</v>
      </c>
    </row>
    <row r="45" spans="1:2" x14ac:dyDescent="0.25">
      <c r="A45" s="1" t="s">
        <v>89</v>
      </c>
      <c r="B45" s="16" t="s">
        <v>89</v>
      </c>
    </row>
    <row r="46" spans="1:2" x14ac:dyDescent="0.25">
      <c r="A46" s="1" t="s">
        <v>90</v>
      </c>
      <c r="B46" s="16" t="s">
        <v>90</v>
      </c>
    </row>
    <row r="47" spans="1:2" x14ac:dyDescent="0.25">
      <c r="A47" s="1" t="s">
        <v>566</v>
      </c>
      <c r="B47" s="16" t="s">
        <v>566</v>
      </c>
    </row>
    <row r="48" spans="1:2" x14ac:dyDescent="0.25">
      <c r="A48" s="1" t="s">
        <v>91</v>
      </c>
      <c r="B48" s="16" t="s">
        <v>91</v>
      </c>
    </row>
    <row r="49" spans="1:2" x14ac:dyDescent="0.25">
      <c r="A49" s="1" t="s">
        <v>92</v>
      </c>
      <c r="B49" s="16" t="s">
        <v>92</v>
      </c>
    </row>
    <row r="50" spans="1:2" x14ac:dyDescent="0.25">
      <c r="A50" s="1" t="s">
        <v>93</v>
      </c>
      <c r="B50" s="16" t="s">
        <v>93</v>
      </c>
    </row>
    <row r="51" spans="1:2" x14ac:dyDescent="0.25">
      <c r="A51" s="1" t="s">
        <v>94</v>
      </c>
      <c r="B51" s="16" t="s">
        <v>94</v>
      </c>
    </row>
    <row r="52" spans="1:2" x14ac:dyDescent="0.25">
      <c r="A52" s="1" t="s">
        <v>95</v>
      </c>
      <c r="B52" s="16" t="s">
        <v>95</v>
      </c>
    </row>
    <row r="53" spans="1:2" x14ac:dyDescent="0.25">
      <c r="A53" s="1" t="s">
        <v>567</v>
      </c>
      <c r="B53" s="16" t="s">
        <v>567</v>
      </c>
    </row>
    <row r="54" spans="1:2" x14ac:dyDescent="0.25">
      <c r="A54" s="1" t="s">
        <v>96</v>
      </c>
      <c r="B54" s="16" t="s">
        <v>96</v>
      </c>
    </row>
    <row r="55" spans="1:2" x14ac:dyDescent="0.25">
      <c r="A55" s="1" t="s">
        <v>97</v>
      </c>
      <c r="B55" s="16" t="s">
        <v>97</v>
      </c>
    </row>
    <row r="56" spans="1:2" x14ac:dyDescent="0.25">
      <c r="A56" s="1" t="s">
        <v>98</v>
      </c>
      <c r="B56" s="16" t="s">
        <v>98</v>
      </c>
    </row>
    <row r="57" spans="1:2" x14ac:dyDescent="0.25">
      <c r="A57" s="1" t="s">
        <v>99</v>
      </c>
      <c r="B57" s="16" t="s">
        <v>99</v>
      </c>
    </row>
    <row r="58" spans="1:2" x14ac:dyDescent="0.25">
      <c r="A58" s="1" t="s">
        <v>100</v>
      </c>
      <c r="B58" s="16" t="s">
        <v>100</v>
      </c>
    </row>
    <row r="59" spans="1:2" x14ac:dyDescent="0.25">
      <c r="A59" s="1" t="s">
        <v>101</v>
      </c>
      <c r="B59" s="16" t="s">
        <v>101</v>
      </c>
    </row>
    <row r="60" spans="1:2" x14ac:dyDescent="0.25">
      <c r="A60" s="1" t="s">
        <v>102</v>
      </c>
      <c r="B60" s="16" t="s">
        <v>102</v>
      </c>
    </row>
    <row r="61" spans="1:2" x14ac:dyDescent="0.25">
      <c r="A61" s="1" t="s">
        <v>103</v>
      </c>
      <c r="B61" s="16" t="s">
        <v>103</v>
      </c>
    </row>
    <row r="62" spans="1:2" x14ac:dyDescent="0.25">
      <c r="A62" s="1" t="s">
        <v>104</v>
      </c>
      <c r="B62" s="16" t="s">
        <v>104</v>
      </c>
    </row>
    <row r="63" spans="1:2" x14ac:dyDescent="0.25">
      <c r="A63" s="1" t="s">
        <v>105</v>
      </c>
      <c r="B63" s="16" t="s">
        <v>105</v>
      </c>
    </row>
    <row r="64" spans="1:2" x14ac:dyDescent="0.25">
      <c r="A64" s="1" t="s">
        <v>106</v>
      </c>
      <c r="B64" s="16" t="s">
        <v>106</v>
      </c>
    </row>
    <row r="65" spans="1:2" x14ac:dyDescent="0.25">
      <c r="A65" s="1" t="s">
        <v>107</v>
      </c>
      <c r="B65" s="16" t="s">
        <v>107</v>
      </c>
    </row>
    <row r="66" spans="1:2" x14ac:dyDescent="0.25">
      <c r="A66" s="1" t="s">
        <v>108</v>
      </c>
      <c r="B66" s="16" t="s">
        <v>108</v>
      </c>
    </row>
    <row r="67" spans="1:2" x14ac:dyDescent="0.25">
      <c r="A67" s="1" t="s">
        <v>109</v>
      </c>
      <c r="B67" s="16" t="s">
        <v>109</v>
      </c>
    </row>
    <row r="68" spans="1:2" x14ac:dyDescent="0.25">
      <c r="A68" s="1" t="s">
        <v>110</v>
      </c>
      <c r="B68" s="16" t="s">
        <v>110</v>
      </c>
    </row>
    <row r="69" spans="1:2" x14ac:dyDescent="0.25">
      <c r="A69" s="1" t="s">
        <v>111</v>
      </c>
      <c r="B69" s="16" t="s">
        <v>111</v>
      </c>
    </row>
    <row r="70" spans="1:2" x14ac:dyDescent="0.25">
      <c r="A70" s="1" t="s">
        <v>112</v>
      </c>
      <c r="B70" s="16" t="s">
        <v>112</v>
      </c>
    </row>
    <row r="71" spans="1:2" x14ac:dyDescent="0.25">
      <c r="A71" s="1" t="s">
        <v>176</v>
      </c>
      <c r="B71" s="16" t="s">
        <v>176</v>
      </c>
    </row>
    <row r="72" spans="1:2" x14ac:dyDescent="0.25">
      <c r="A72" s="1" t="s">
        <v>113</v>
      </c>
      <c r="B72" s="16" t="s">
        <v>113</v>
      </c>
    </row>
    <row r="73" spans="1:2" x14ac:dyDescent="0.25">
      <c r="A73" s="1" t="s">
        <v>114</v>
      </c>
      <c r="B73" s="16" t="s">
        <v>114</v>
      </c>
    </row>
    <row r="74" spans="1:2" x14ac:dyDescent="0.25">
      <c r="A74" s="1" t="s">
        <v>115</v>
      </c>
      <c r="B74" s="16" t="s">
        <v>115</v>
      </c>
    </row>
    <row r="75" spans="1:2" x14ac:dyDescent="0.25">
      <c r="A75" s="1" t="s">
        <v>568</v>
      </c>
      <c r="B75" s="16" t="s">
        <v>568</v>
      </c>
    </row>
    <row r="76" spans="1:2" x14ac:dyDescent="0.25">
      <c r="A76" s="1" t="s">
        <v>569</v>
      </c>
      <c r="B76" s="16" t="s">
        <v>569</v>
      </c>
    </row>
    <row r="77" spans="1:2" x14ac:dyDescent="0.25">
      <c r="A77" s="1" t="s">
        <v>570</v>
      </c>
      <c r="B77" s="16" t="s">
        <v>570</v>
      </c>
    </row>
    <row r="78" spans="1:2" x14ac:dyDescent="0.25">
      <c r="A78" s="1" t="s">
        <v>116</v>
      </c>
      <c r="B78" s="16" t="s">
        <v>116</v>
      </c>
    </row>
    <row r="79" spans="1:2" x14ac:dyDescent="0.25">
      <c r="A79" s="1" t="s">
        <v>117</v>
      </c>
      <c r="B79" s="16" t="s">
        <v>117</v>
      </c>
    </row>
    <row r="80" spans="1:2" x14ac:dyDescent="0.25">
      <c r="A80" s="1" t="s">
        <v>178</v>
      </c>
      <c r="B80" s="16" t="s">
        <v>178</v>
      </c>
    </row>
    <row r="81" spans="1:2" x14ac:dyDescent="0.25">
      <c r="A81" s="1" t="s">
        <v>571</v>
      </c>
      <c r="B81" s="16" t="s">
        <v>571</v>
      </c>
    </row>
    <row r="82" spans="1:2" x14ac:dyDescent="0.25">
      <c r="A82" s="1" t="s">
        <v>118</v>
      </c>
      <c r="B82" s="16" t="s">
        <v>118</v>
      </c>
    </row>
    <row r="83" spans="1:2" x14ac:dyDescent="0.25">
      <c r="A83" s="1" t="s">
        <v>572</v>
      </c>
      <c r="B83" s="16" t="s">
        <v>572</v>
      </c>
    </row>
    <row r="84" spans="1:2" x14ac:dyDescent="0.25">
      <c r="A84" s="1" t="s">
        <v>573</v>
      </c>
      <c r="B84" s="16" t="s">
        <v>573</v>
      </c>
    </row>
    <row r="85" spans="1:2" x14ac:dyDescent="0.25">
      <c r="A85" s="1" t="s">
        <v>574</v>
      </c>
      <c r="B85" s="16" t="s">
        <v>574</v>
      </c>
    </row>
    <row r="86" spans="1:2" x14ac:dyDescent="0.25">
      <c r="A86" s="1" t="s">
        <v>119</v>
      </c>
      <c r="B86" s="16" t="s">
        <v>119</v>
      </c>
    </row>
    <row r="87" spans="1:2" x14ac:dyDescent="0.25">
      <c r="A87" s="1" t="s">
        <v>575</v>
      </c>
      <c r="B87" s="16" t="s">
        <v>575</v>
      </c>
    </row>
    <row r="88" spans="1:2" x14ac:dyDescent="0.25">
      <c r="A88" s="1" t="s">
        <v>576</v>
      </c>
      <c r="B88" s="16" t="s">
        <v>576</v>
      </c>
    </row>
    <row r="89" spans="1:2" x14ac:dyDescent="0.25">
      <c r="A89" s="1" t="s">
        <v>577</v>
      </c>
      <c r="B89" s="16" t="s">
        <v>577</v>
      </c>
    </row>
    <row r="90" spans="1:2" x14ac:dyDescent="0.25">
      <c r="A90" t="s">
        <v>578</v>
      </c>
      <c r="B90" s="16" t="s">
        <v>578</v>
      </c>
    </row>
    <row r="91" spans="1:2" x14ac:dyDescent="0.25">
      <c r="A91" s="4" t="s">
        <v>579</v>
      </c>
      <c r="B91" s="16" t="s">
        <v>579</v>
      </c>
    </row>
    <row r="92" spans="1:2" x14ac:dyDescent="0.25">
      <c r="A92" s="1" t="s">
        <v>120</v>
      </c>
      <c r="B92" s="16" t="s">
        <v>120</v>
      </c>
    </row>
    <row r="93" spans="1:2" x14ac:dyDescent="0.25">
      <c r="A93" s="1" t="s">
        <v>121</v>
      </c>
      <c r="B93" s="16" t="s">
        <v>121</v>
      </c>
    </row>
    <row r="94" spans="1:2" x14ac:dyDescent="0.25">
      <c r="A94" s="1" t="s">
        <v>122</v>
      </c>
      <c r="B94" s="16" t="s">
        <v>122</v>
      </c>
    </row>
    <row r="95" spans="1:2" x14ac:dyDescent="0.25">
      <c r="A95" s="1" t="s">
        <v>123</v>
      </c>
      <c r="B95" s="16" t="s">
        <v>123</v>
      </c>
    </row>
    <row r="96" spans="1:2" x14ac:dyDescent="0.25">
      <c r="A96" s="1" t="s">
        <v>124</v>
      </c>
      <c r="B96" s="16" t="s">
        <v>124</v>
      </c>
    </row>
    <row r="97" spans="1:2" x14ac:dyDescent="0.25">
      <c r="A97" s="1" t="s">
        <v>125</v>
      </c>
      <c r="B97" s="16" t="s">
        <v>125</v>
      </c>
    </row>
    <row r="98" spans="1:2" x14ac:dyDescent="0.25">
      <c r="A98" s="1" t="s">
        <v>126</v>
      </c>
      <c r="B98" s="16" t="s">
        <v>126</v>
      </c>
    </row>
    <row r="99" spans="1:2" x14ac:dyDescent="0.25">
      <c r="A99" s="1" t="s">
        <v>127</v>
      </c>
      <c r="B99" s="16" t="s">
        <v>127</v>
      </c>
    </row>
    <row r="100" spans="1:2" x14ac:dyDescent="0.25">
      <c r="A100" s="1" t="s">
        <v>128</v>
      </c>
      <c r="B100" s="16" t="s">
        <v>128</v>
      </c>
    </row>
    <row r="101" spans="1:2" x14ac:dyDescent="0.25">
      <c r="A101" s="1" t="s">
        <v>129</v>
      </c>
      <c r="B101" s="16" t="s">
        <v>129</v>
      </c>
    </row>
    <row r="102" spans="1:2" x14ac:dyDescent="0.25">
      <c r="A102" s="1" t="s">
        <v>177</v>
      </c>
      <c r="B102" s="16" t="s">
        <v>177</v>
      </c>
    </row>
    <row r="103" spans="1:2" x14ac:dyDescent="0.25">
      <c r="A103" s="1" t="s">
        <v>130</v>
      </c>
      <c r="B103" s="16" t="s">
        <v>130</v>
      </c>
    </row>
    <row r="104" spans="1:2" x14ac:dyDescent="0.25">
      <c r="A104" s="1" t="s">
        <v>131</v>
      </c>
      <c r="B104" s="16" t="s">
        <v>131</v>
      </c>
    </row>
    <row r="105" spans="1:2" x14ac:dyDescent="0.25">
      <c r="A105" s="1" t="s">
        <v>179</v>
      </c>
      <c r="B105" s="16" t="s">
        <v>179</v>
      </c>
    </row>
    <row r="106" spans="1:2" x14ac:dyDescent="0.25">
      <c r="A106" s="1" t="s">
        <v>132</v>
      </c>
      <c r="B106" s="16" t="s">
        <v>132</v>
      </c>
    </row>
    <row r="107" spans="1:2" x14ac:dyDescent="0.25">
      <c r="A107" s="1" t="s">
        <v>133</v>
      </c>
      <c r="B107" s="16" t="s">
        <v>133</v>
      </c>
    </row>
    <row r="108" spans="1:2" x14ac:dyDescent="0.25">
      <c r="A108" s="1" t="s">
        <v>134</v>
      </c>
      <c r="B108" s="16" t="s">
        <v>134</v>
      </c>
    </row>
    <row r="109" spans="1:2" x14ac:dyDescent="0.25">
      <c r="A109" s="1" t="s">
        <v>135</v>
      </c>
      <c r="B109" s="16" t="s">
        <v>135</v>
      </c>
    </row>
    <row r="110" spans="1:2" x14ac:dyDescent="0.25">
      <c r="A110" s="1" t="s">
        <v>174</v>
      </c>
      <c r="B110" s="16" t="s">
        <v>174</v>
      </c>
    </row>
    <row r="111" spans="1:2" x14ac:dyDescent="0.25">
      <c r="A111" s="1" t="s">
        <v>580</v>
      </c>
      <c r="B111" s="16" t="s">
        <v>580</v>
      </c>
    </row>
    <row r="112" spans="1:2" x14ac:dyDescent="0.25">
      <c r="A112" s="1" t="s">
        <v>136</v>
      </c>
      <c r="B112" s="16" t="s">
        <v>136</v>
      </c>
    </row>
    <row r="113" spans="1:2" x14ac:dyDescent="0.25">
      <c r="A113" s="1" t="s">
        <v>137</v>
      </c>
      <c r="B113" s="16" t="s">
        <v>137</v>
      </c>
    </row>
    <row r="114" spans="1:2" x14ac:dyDescent="0.25">
      <c r="A114" s="1" t="s">
        <v>138</v>
      </c>
      <c r="B114" s="16" t="s">
        <v>138</v>
      </c>
    </row>
    <row r="115" spans="1:2" x14ac:dyDescent="0.25">
      <c r="A115" s="1" t="s">
        <v>139</v>
      </c>
      <c r="B115" s="16" t="s">
        <v>139</v>
      </c>
    </row>
    <row r="116" spans="1:2" x14ac:dyDescent="0.25">
      <c r="A116" s="1" t="s">
        <v>140</v>
      </c>
      <c r="B116" s="16" t="s">
        <v>140</v>
      </c>
    </row>
    <row r="117" spans="1:2" x14ac:dyDescent="0.25">
      <c r="A117" s="1" t="s">
        <v>141</v>
      </c>
      <c r="B117" s="16" t="s">
        <v>141</v>
      </c>
    </row>
    <row r="118" spans="1:2" x14ac:dyDescent="0.25">
      <c r="A118" s="1" t="s">
        <v>142</v>
      </c>
      <c r="B118" s="16" t="s">
        <v>142</v>
      </c>
    </row>
    <row r="119" spans="1:2" x14ac:dyDescent="0.25">
      <c r="A119" s="1" t="s">
        <v>143</v>
      </c>
      <c r="B119" s="16" t="s">
        <v>143</v>
      </c>
    </row>
    <row r="120" spans="1:2" x14ac:dyDescent="0.25">
      <c r="A120" s="1" t="s">
        <v>144</v>
      </c>
      <c r="B120" s="16" t="s">
        <v>144</v>
      </c>
    </row>
    <row r="121" spans="1:2" x14ac:dyDescent="0.25">
      <c r="A121" s="1" t="s">
        <v>145</v>
      </c>
      <c r="B121" s="16" t="s">
        <v>145</v>
      </c>
    </row>
    <row r="122" spans="1:2" x14ac:dyDescent="0.25">
      <c r="A122" s="1" t="s">
        <v>146</v>
      </c>
      <c r="B122" s="16" t="s">
        <v>146</v>
      </c>
    </row>
    <row r="123" spans="1:2" x14ac:dyDescent="0.25">
      <c r="A123" s="1" t="s">
        <v>147</v>
      </c>
      <c r="B123" s="16" t="s">
        <v>147</v>
      </c>
    </row>
    <row r="124" spans="1:2" x14ac:dyDescent="0.25">
      <c r="A124" s="1" t="s">
        <v>148</v>
      </c>
      <c r="B124" s="16" t="s">
        <v>148</v>
      </c>
    </row>
    <row r="125" spans="1:2" x14ac:dyDescent="0.25">
      <c r="A125" s="1" t="s">
        <v>581</v>
      </c>
      <c r="B125" s="16" t="s">
        <v>581</v>
      </c>
    </row>
    <row r="126" spans="1:2" x14ac:dyDescent="0.25">
      <c r="A126" s="1" t="s">
        <v>149</v>
      </c>
      <c r="B126" s="16" t="s">
        <v>149</v>
      </c>
    </row>
    <row r="127" spans="1:2" x14ac:dyDescent="0.25">
      <c r="A127" s="1" t="s">
        <v>150</v>
      </c>
      <c r="B127" s="16" t="s">
        <v>150</v>
      </c>
    </row>
    <row r="128" spans="1:2" x14ac:dyDescent="0.25">
      <c r="A128" s="1" t="s">
        <v>151</v>
      </c>
      <c r="B128" s="16" t="s">
        <v>151</v>
      </c>
    </row>
    <row r="129" spans="1:2" x14ac:dyDescent="0.25">
      <c r="A129" s="1" t="s">
        <v>152</v>
      </c>
      <c r="B129" s="16" t="s">
        <v>152</v>
      </c>
    </row>
    <row r="130" spans="1:2" x14ac:dyDescent="0.25">
      <c r="A130" s="1" t="s">
        <v>153</v>
      </c>
      <c r="B130" s="16" t="s">
        <v>153</v>
      </c>
    </row>
    <row r="131" spans="1:2" x14ac:dyDescent="0.25">
      <c r="A131" s="1" t="s">
        <v>154</v>
      </c>
      <c r="B131" s="16" t="s">
        <v>154</v>
      </c>
    </row>
    <row r="132" spans="1:2" x14ac:dyDescent="0.25">
      <c r="A132" s="1" t="s">
        <v>155</v>
      </c>
      <c r="B132" s="16" t="s">
        <v>155</v>
      </c>
    </row>
    <row r="133" spans="1:2" x14ac:dyDescent="0.25">
      <c r="A133" s="1" t="s">
        <v>156</v>
      </c>
      <c r="B133" s="16" t="s">
        <v>156</v>
      </c>
    </row>
    <row r="134" spans="1:2" x14ac:dyDescent="0.25">
      <c r="A134" s="1" t="s">
        <v>157</v>
      </c>
      <c r="B134" s="16" t="s">
        <v>157</v>
      </c>
    </row>
    <row r="135" spans="1:2" x14ac:dyDescent="0.25">
      <c r="A135" s="1" t="s">
        <v>582</v>
      </c>
      <c r="B135" s="16" t="s">
        <v>582</v>
      </c>
    </row>
    <row r="136" spans="1:2" x14ac:dyDescent="0.25">
      <c r="A136" s="1" t="s">
        <v>158</v>
      </c>
      <c r="B136" s="16" t="s">
        <v>158</v>
      </c>
    </row>
    <row r="137" spans="1:2" x14ac:dyDescent="0.25">
      <c r="A137" s="1" t="s">
        <v>583</v>
      </c>
      <c r="B137" s="16" t="s">
        <v>583</v>
      </c>
    </row>
    <row r="138" spans="1:2" x14ac:dyDescent="0.25">
      <c r="A138" s="1" t="s">
        <v>584</v>
      </c>
      <c r="B138" s="16" t="s">
        <v>584</v>
      </c>
    </row>
    <row r="139" spans="1:2" x14ac:dyDescent="0.25">
      <c r="A139" s="1" t="s">
        <v>159</v>
      </c>
      <c r="B139" s="16" t="s">
        <v>159</v>
      </c>
    </row>
    <row r="140" spans="1:2" x14ac:dyDescent="0.25">
      <c r="A140" s="1" t="s">
        <v>160</v>
      </c>
      <c r="B140" s="16" t="s">
        <v>160</v>
      </c>
    </row>
    <row r="141" spans="1:2" x14ac:dyDescent="0.25">
      <c r="A141" s="1" t="s">
        <v>161</v>
      </c>
      <c r="B141" s="16" t="s">
        <v>161</v>
      </c>
    </row>
    <row r="142" spans="1:2" x14ac:dyDescent="0.25">
      <c r="A142" s="1" t="s">
        <v>162</v>
      </c>
      <c r="B142" s="16" t="s">
        <v>162</v>
      </c>
    </row>
    <row r="143" spans="1:2" x14ac:dyDescent="0.25">
      <c r="A143" s="1" t="s">
        <v>163</v>
      </c>
      <c r="B143" s="16" t="s">
        <v>163</v>
      </c>
    </row>
    <row r="144" spans="1:2" x14ac:dyDescent="0.25">
      <c r="A144" s="1" t="s">
        <v>164</v>
      </c>
      <c r="B144" s="16" t="s">
        <v>164</v>
      </c>
    </row>
    <row r="145" spans="1:2" x14ac:dyDescent="0.25">
      <c r="A145" s="1" t="s">
        <v>165</v>
      </c>
      <c r="B145" s="16" t="s">
        <v>165</v>
      </c>
    </row>
    <row r="146" spans="1:2" x14ac:dyDescent="0.25">
      <c r="A146" s="1" t="s">
        <v>166</v>
      </c>
      <c r="B146" s="16" t="s">
        <v>166</v>
      </c>
    </row>
    <row r="147" spans="1:2" x14ac:dyDescent="0.25">
      <c r="A147" s="1" t="s">
        <v>585</v>
      </c>
      <c r="B147" s="16" t="s">
        <v>585</v>
      </c>
    </row>
    <row r="148" spans="1:2" x14ac:dyDescent="0.25">
      <c r="A148" s="1" t="s">
        <v>167</v>
      </c>
      <c r="B148" s="16" t="s">
        <v>167</v>
      </c>
    </row>
    <row r="149" spans="1:2" x14ac:dyDescent="0.25">
      <c r="A149" s="1" t="s">
        <v>168</v>
      </c>
      <c r="B149" s="16" t="s">
        <v>168</v>
      </c>
    </row>
    <row r="150" spans="1:2" x14ac:dyDescent="0.25">
      <c r="A150" s="1" t="s">
        <v>169</v>
      </c>
      <c r="B150" s="16" t="s">
        <v>169</v>
      </c>
    </row>
    <row r="151" spans="1:2" x14ac:dyDescent="0.25">
      <c r="A151" s="1" t="s">
        <v>170</v>
      </c>
      <c r="B151" s="16" t="s">
        <v>170</v>
      </c>
    </row>
    <row r="152" spans="1:2" x14ac:dyDescent="0.25">
      <c r="A152" s="1" t="s">
        <v>171</v>
      </c>
      <c r="B152" s="16" t="s">
        <v>171</v>
      </c>
    </row>
    <row r="153" spans="1:2" x14ac:dyDescent="0.25">
      <c r="A153" s="1" t="s">
        <v>172</v>
      </c>
      <c r="B153" s="16" t="s">
        <v>172</v>
      </c>
    </row>
    <row r="154" spans="1:2" x14ac:dyDescent="0.25">
      <c r="A154" s="1" t="s">
        <v>173</v>
      </c>
      <c r="B154" s="16" t="s">
        <v>173</v>
      </c>
    </row>
    <row r="159" spans="1:2" x14ac:dyDescent="0.25">
      <c r="A159" s="59" t="s">
        <v>357</v>
      </c>
      <c r="B159" s="1" t="s">
        <v>450</v>
      </c>
    </row>
    <row r="160" spans="1:2" x14ac:dyDescent="0.25">
      <c r="A160" s="59" t="s">
        <v>355</v>
      </c>
      <c r="B160" s="1" t="s">
        <v>451</v>
      </c>
    </row>
    <row r="161" spans="1:2" x14ac:dyDescent="0.25">
      <c r="A161" s="59" t="s">
        <v>356</v>
      </c>
      <c r="B161" s="1" t="s">
        <v>452</v>
      </c>
    </row>
    <row r="162" spans="1:2" x14ac:dyDescent="0.25">
      <c r="A162" s="59" t="s">
        <v>358</v>
      </c>
      <c r="B162" s="1" t="s">
        <v>453</v>
      </c>
    </row>
    <row r="163" spans="1:2" x14ac:dyDescent="0.25">
      <c r="A163" s="59" t="s">
        <v>359</v>
      </c>
      <c r="B163" s="1" t="s">
        <v>454</v>
      </c>
    </row>
    <row r="164" spans="1:2" x14ac:dyDescent="0.25">
      <c r="A164" s="59" t="s">
        <v>360</v>
      </c>
      <c r="B164" s="1" t="s">
        <v>455</v>
      </c>
    </row>
    <row r="165" spans="1:2" x14ac:dyDescent="0.25">
      <c r="A165" s="59" t="s">
        <v>361</v>
      </c>
      <c r="B165" s="1" t="s">
        <v>456</v>
      </c>
    </row>
    <row r="166" spans="1:2" x14ac:dyDescent="0.25">
      <c r="A166" s="59" t="s">
        <v>362</v>
      </c>
      <c r="B166" s="1" t="s">
        <v>457</v>
      </c>
    </row>
    <row r="167" spans="1:2" x14ac:dyDescent="0.25">
      <c r="A167" s="59" t="s">
        <v>363</v>
      </c>
      <c r="B167" s="1" t="s">
        <v>458</v>
      </c>
    </row>
    <row r="168" spans="1:2" x14ac:dyDescent="0.25">
      <c r="A168" s="59" t="s">
        <v>364</v>
      </c>
      <c r="B168" s="1" t="s">
        <v>459</v>
      </c>
    </row>
    <row r="169" spans="1:2" x14ac:dyDescent="0.25">
      <c r="A169" s="59" t="s">
        <v>365</v>
      </c>
      <c r="B169" s="1" t="s">
        <v>460</v>
      </c>
    </row>
    <row r="170" spans="1:2" x14ac:dyDescent="0.25">
      <c r="A170" s="59" t="s">
        <v>366</v>
      </c>
      <c r="B170" s="1" t="s">
        <v>461</v>
      </c>
    </row>
    <row r="171" spans="1:2" x14ac:dyDescent="0.25">
      <c r="A171" s="59" t="s">
        <v>367</v>
      </c>
      <c r="B171" s="1" t="s">
        <v>462</v>
      </c>
    </row>
    <row r="172" spans="1:2" x14ac:dyDescent="0.25">
      <c r="A172" s="59" t="s">
        <v>368</v>
      </c>
      <c r="B172" s="1" t="s">
        <v>463</v>
      </c>
    </row>
    <row r="173" spans="1:2" x14ac:dyDescent="0.25">
      <c r="A173" s="59" t="s">
        <v>369</v>
      </c>
      <c r="B173" s="1" t="s">
        <v>464</v>
      </c>
    </row>
    <row r="174" spans="1:2" x14ac:dyDescent="0.25">
      <c r="A174" s="59" t="s">
        <v>370</v>
      </c>
      <c r="B174" s="1" t="s">
        <v>465</v>
      </c>
    </row>
    <row r="175" spans="1:2" x14ac:dyDescent="0.25">
      <c r="A175" s="59" t="s">
        <v>371</v>
      </c>
      <c r="B175" s="1" t="s">
        <v>466</v>
      </c>
    </row>
    <row r="176" spans="1:2" x14ac:dyDescent="0.25">
      <c r="A176" s="59" t="s">
        <v>372</v>
      </c>
      <c r="B176" s="1" t="s">
        <v>467</v>
      </c>
    </row>
    <row r="177" spans="1:2" x14ac:dyDescent="0.25">
      <c r="A177" s="59" t="s">
        <v>373</v>
      </c>
      <c r="B177" s="1" t="s">
        <v>468</v>
      </c>
    </row>
    <row r="178" spans="1:2" x14ac:dyDescent="0.25">
      <c r="A178" s="59" t="s">
        <v>374</v>
      </c>
      <c r="B178" s="1" t="s">
        <v>469</v>
      </c>
    </row>
    <row r="179" spans="1:2" x14ac:dyDescent="0.25">
      <c r="A179" s="59" t="s">
        <v>375</v>
      </c>
      <c r="B179" s="1" t="s">
        <v>470</v>
      </c>
    </row>
    <row r="180" spans="1:2" x14ac:dyDescent="0.25">
      <c r="A180" s="59" t="s">
        <v>376</v>
      </c>
      <c r="B180" s="1" t="s">
        <v>471</v>
      </c>
    </row>
    <row r="181" spans="1:2" x14ac:dyDescent="0.25">
      <c r="A181" s="59" t="s">
        <v>377</v>
      </c>
      <c r="B181" s="1" t="s">
        <v>472</v>
      </c>
    </row>
    <row r="182" spans="1:2" x14ac:dyDescent="0.25">
      <c r="A182" s="59" t="s">
        <v>378</v>
      </c>
      <c r="B182" s="1" t="s">
        <v>473</v>
      </c>
    </row>
    <row r="183" spans="1:2" x14ac:dyDescent="0.25">
      <c r="A183" s="59" t="s">
        <v>379</v>
      </c>
      <c r="B183" s="1" t="s">
        <v>474</v>
      </c>
    </row>
    <row r="184" spans="1:2" x14ac:dyDescent="0.25">
      <c r="A184" s="59" t="s">
        <v>380</v>
      </c>
      <c r="B184" s="1" t="s">
        <v>475</v>
      </c>
    </row>
    <row r="185" spans="1:2" x14ac:dyDescent="0.25">
      <c r="A185" s="59" t="s">
        <v>381</v>
      </c>
      <c r="B185" s="1" t="s">
        <v>476</v>
      </c>
    </row>
    <row r="186" spans="1:2" x14ac:dyDescent="0.25">
      <c r="A186" s="59" t="s">
        <v>11</v>
      </c>
      <c r="B186" s="1" t="s">
        <v>477</v>
      </c>
    </row>
    <row r="187" spans="1:2" x14ac:dyDescent="0.25">
      <c r="A187" s="59" t="s">
        <v>382</v>
      </c>
      <c r="B187" s="1" t="s">
        <v>478</v>
      </c>
    </row>
    <row r="188" spans="1:2" x14ac:dyDescent="0.25">
      <c r="A188" s="59" t="s">
        <v>383</v>
      </c>
      <c r="B188" s="1" t="s">
        <v>479</v>
      </c>
    </row>
    <row r="189" spans="1:2" x14ac:dyDescent="0.25">
      <c r="A189" s="59" t="s">
        <v>384</v>
      </c>
      <c r="B189" s="1" t="s">
        <v>480</v>
      </c>
    </row>
    <row r="190" spans="1:2" x14ac:dyDescent="0.25">
      <c r="A190" s="59" t="s">
        <v>385</v>
      </c>
      <c r="B190" s="1" t="s">
        <v>481</v>
      </c>
    </row>
    <row r="191" spans="1:2" x14ac:dyDescent="0.25">
      <c r="A191" s="59" t="s">
        <v>386</v>
      </c>
      <c r="B191" s="1" t="s">
        <v>482</v>
      </c>
    </row>
    <row r="192" spans="1:2" x14ac:dyDescent="0.25">
      <c r="A192" s="59" t="s">
        <v>387</v>
      </c>
      <c r="B192" s="1" t="s">
        <v>483</v>
      </c>
    </row>
    <row r="193" spans="1:2" x14ac:dyDescent="0.25">
      <c r="A193" s="59" t="s">
        <v>388</v>
      </c>
      <c r="B193" s="1" t="s">
        <v>484</v>
      </c>
    </row>
    <row r="194" spans="1:2" x14ac:dyDescent="0.25">
      <c r="A194" s="59" t="s">
        <v>389</v>
      </c>
      <c r="B194" s="1" t="s">
        <v>485</v>
      </c>
    </row>
    <row r="195" spans="1:2" x14ac:dyDescent="0.25">
      <c r="A195" s="59" t="s">
        <v>390</v>
      </c>
      <c r="B195" s="1" t="s">
        <v>486</v>
      </c>
    </row>
    <row r="196" spans="1:2" x14ac:dyDescent="0.25">
      <c r="A196" s="59" t="s">
        <v>391</v>
      </c>
      <c r="B196" s="1" t="s">
        <v>487</v>
      </c>
    </row>
    <row r="197" spans="1:2" x14ac:dyDescent="0.25">
      <c r="A197" s="59" t="s">
        <v>392</v>
      </c>
      <c r="B197" s="1" t="s">
        <v>488</v>
      </c>
    </row>
    <row r="198" spans="1:2" x14ac:dyDescent="0.25">
      <c r="A198" s="59" t="s">
        <v>393</v>
      </c>
      <c r="B198" s="1" t="s">
        <v>489</v>
      </c>
    </row>
    <row r="199" spans="1:2" x14ac:dyDescent="0.25">
      <c r="A199" s="59" t="s">
        <v>394</v>
      </c>
      <c r="B199" s="1" t="s">
        <v>490</v>
      </c>
    </row>
    <row r="200" spans="1:2" x14ac:dyDescent="0.25">
      <c r="A200" s="59" t="s">
        <v>395</v>
      </c>
      <c r="B200" s="1" t="s">
        <v>491</v>
      </c>
    </row>
    <row r="201" spans="1:2" x14ac:dyDescent="0.25">
      <c r="A201" s="59" t="s">
        <v>396</v>
      </c>
      <c r="B201" s="1" t="s">
        <v>492</v>
      </c>
    </row>
    <row r="202" spans="1:2" x14ac:dyDescent="0.25">
      <c r="A202" s="59" t="s">
        <v>397</v>
      </c>
      <c r="B202" s="1" t="s">
        <v>493</v>
      </c>
    </row>
    <row r="203" spans="1:2" x14ac:dyDescent="0.25">
      <c r="A203" s="59" t="s">
        <v>398</v>
      </c>
      <c r="B203" s="1" t="s">
        <v>494</v>
      </c>
    </row>
    <row r="204" spans="1:2" x14ac:dyDescent="0.25">
      <c r="A204" s="59" t="s">
        <v>399</v>
      </c>
      <c r="B204" s="1" t="s">
        <v>495</v>
      </c>
    </row>
    <row r="205" spans="1:2" x14ac:dyDescent="0.25">
      <c r="A205" s="59" t="s">
        <v>400</v>
      </c>
      <c r="B205" s="1" t="s">
        <v>496</v>
      </c>
    </row>
    <row r="206" spans="1:2" x14ac:dyDescent="0.25">
      <c r="A206" s="59" t="s">
        <v>401</v>
      </c>
      <c r="B206" s="1" t="s">
        <v>497</v>
      </c>
    </row>
    <row r="207" spans="1:2" x14ac:dyDescent="0.25">
      <c r="A207" s="59" t="s">
        <v>402</v>
      </c>
      <c r="B207" s="1" t="s">
        <v>498</v>
      </c>
    </row>
    <row r="208" spans="1:2" x14ac:dyDescent="0.25">
      <c r="A208" s="59" t="s">
        <v>403</v>
      </c>
      <c r="B208" s="1" t="s">
        <v>499</v>
      </c>
    </row>
    <row r="209" spans="1:2" x14ac:dyDescent="0.25">
      <c r="A209" s="59" t="s">
        <v>404</v>
      </c>
      <c r="B209" s="1" t="s">
        <v>500</v>
      </c>
    </row>
    <row r="210" spans="1:2" x14ac:dyDescent="0.25">
      <c r="A210" s="59" t="s">
        <v>405</v>
      </c>
      <c r="B210" s="1" t="s">
        <v>501</v>
      </c>
    </row>
    <row r="211" spans="1:2" x14ac:dyDescent="0.25">
      <c r="A211" s="59" t="s">
        <v>10</v>
      </c>
      <c r="B211" s="1" t="s">
        <v>502</v>
      </c>
    </row>
    <row r="212" spans="1:2" x14ac:dyDescent="0.25">
      <c r="A212" s="59" t="s">
        <v>9</v>
      </c>
      <c r="B212" s="1" t="s">
        <v>503</v>
      </c>
    </row>
    <row r="213" spans="1:2" x14ac:dyDescent="0.25">
      <c r="A213" s="59" t="s">
        <v>406</v>
      </c>
      <c r="B213" s="1" t="s">
        <v>504</v>
      </c>
    </row>
    <row r="214" spans="1:2" x14ac:dyDescent="0.25">
      <c r="A214" s="59" t="s">
        <v>407</v>
      </c>
      <c r="B214" s="1" t="s">
        <v>505</v>
      </c>
    </row>
    <row r="215" spans="1:2" x14ac:dyDescent="0.25">
      <c r="A215" s="59" t="s">
        <v>408</v>
      </c>
      <c r="B215" s="1" t="s">
        <v>506</v>
      </c>
    </row>
    <row r="216" spans="1:2" x14ac:dyDescent="0.25">
      <c r="A216" s="59" t="s">
        <v>449</v>
      </c>
      <c r="B216" s="1" t="s">
        <v>507</v>
      </c>
    </row>
    <row r="217" spans="1:2" x14ac:dyDescent="0.25">
      <c r="A217" s="59" t="s">
        <v>409</v>
      </c>
      <c r="B217" s="1" t="s">
        <v>508</v>
      </c>
    </row>
    <row r="218" spans="1:2" x14ac:dyDescent="0.25">
      <c r="A218" s="59" t="s">
        <v>410</v>
      </c>
      <c r="B218" s="1" t="s">
        <v>509</v>
      </c>
    </row>
    <row r="219" spans="1:2" x14ac:dyDescent="0.25">
      <c r="A219" s="59" t="s">
        <v>411</v>
      </c>
      <c r="B219" s="1" t="s">
        <v>510</v>
      </c>
    </row>
    <row r="220" spans="1:2" x14ac:dyDescent="0.25">
      <c r="A220" s="59" t="s">
        <v>412</v>
      </c>
      <c r="B220" s="1" t="s">
        <v>511</v>
      </c>
    </row>
    <row r="221" spans="1:2" x14ac:dyDescent="0.25">
      <c r="A221" s="59" t="s">
        <v>413</v>
      </c>
      <c r="B221" s="1" t="s">
        <v>512</v>
      </c>
    </row>
    <row r="222" spans="1:2" x14ac:dyDescent="0.25">
      <c r="A222" s="59" t="s">
        <v>414</v>
      </c>
      <c r="B222" s="1" t="s">
        <v>513</v>
      </c>
    </row>
    <row r="223" spans="1:2" x14ac:dyDescent="0.25">
      <c r="A223" s="59" t="s">
        <v>415</v>
      </c>
      <c r="B223" s="1" t="s">
        <v>514</v>
      </c>
    </row>
    <row r="224" spans="1:2" x14ac:dyDescent="0.25">
      <c r="A224" s="59" t="s">
        <v>416</v>
      </c>
      <c r="B224" s="1" t="s">
        <v>515</v>
      </c>
    </row>
    <row r="225" spans="1:2" x14ac:dyDescent="0.25">
      <c r="A225" s="59" t="s">
        <v>417</v>
      </c>
      <c r="B225" s="1" t="s">
        <v>516</v>
      </c>
    </row>
    <row r="226" spans="1:2" x14ac:dyDescent="0.25">
      <c r="A226" s="59" t="s">
        <v>418</v>
      </c>
      <c r="B226" s="1" t="s">
        <v>517</v>
      </c>
    </row>
    <row r="227" spans="1:2" x14ac:dyDescent="0.25">
      <c r="A227" s="59" t="s">
        <v>443</v>
      </c>
      <c r="B227" s="1" t="s">
        <v>518</v>
      </c>
    </row>
    <row r="228" spans="1:2" x14ac:dyDescent="0.25">
      <c r="A228" s="59" t="s">
        <v>419</v>
      </c>
      <c r="B228" s="1" t="s">
        <v>519</v>
      </c>
    </row>
    <row r="229" spans="1:2" x14ac:dyDescent="0.25">
      <c r="A229" s="59" t="s">
        <v>420</v>
      </c>
      <c r="B229" s="1" t="s">
        <v>520</v>
      </c>
    </row>
    <row r="230" spans="1:2" x14ac:dyDescent="0.25">
      <c r="A230" s="59" t="s">
        <v>421</v>
      </c>
      <c r="B230" s="1" t="s">
        <v>521</v>
      </c>
    </row>
    <row r="231" spans="1:2" x14ac:dyDescent="0.25">
      <c r="A231" s="59" t="s">
        <v>422</v>
      </c>
      <c r="B231" s="1" t="s">
        <v>522</v>
      </c>
    </row>
    <row r="232" spans="1:2" x14ac:dyDescent="0.25">
      <c r="A232" s="59" t="s">
        <v>423</v>
      </c>
      <c r="B232" s="1" t="s">
        <v>523</v>
      </c>
    </row>
    <row r="233" spans="1:2" x14ac:dyDescent="0.25">
      <c r="A233" s="59" t="s">
        <v>424</v>
      </c>
      <c r="B233" s="1" t="s">
        <v>524</v>
      </c>
    </row>
    <row r="234" spans="1:2" x14ac:dyDescent="0.25">
      <c r="A234" s="59" t="s">
        <v>425</v>
      </c>
      <c r="B234" s="1" t="s">
        <v>525</v>
      </c>
    </row>
    <row r="235" spans="1:2" x14ac:dyDescent="0.25">
      <c r="A235" s="59" t="s">
        <v>426</v>
      </c>
      <c r="B235" s="1" t="s">
        <v>526</v>
      </c>
    </row>
    <row r="236" spans="1:2" x14ac:dyDescent="0.25">
      <c r="A236" s="59" t="s">
        <v>427</v>
      </c>
      <c r="B236" s="1" t="s">
        <v>527</v>
      </c>
    </row>
    <row r="237" spans="1:2" x14ac:dyDescent="0.25">
      <c r="A237" s="59" t="s">
        <v>428</v>
      </c>
      <c r="B237" s="1" t="s">
        <v>528</v>
      </c>
    </row>
    <row r="238" spans="1:2" x14ac:dyDescent="0.25">
      <c r="A238" s="59" t="s">
        <v>429</v>
      </c>
      <c r="B238" s="1" t="s">
        <v>529</v>
      </c>
    </row>
    <row r="239" spans="1:2" x14ac:dyDescent="0.25">
      <c r="A239" s="59" t="s">
        <v>430</v>
      </c>
      <c r="B239" s="1" t="s">
        <v>530</v>
      </c>
    </row>
    <row r="240" spans="1:2" x14ac:dyDescent="0.25">
      <c r="A240" s="59" t="s">
        <v>431</v>
      </c>
      <c r="B240" s="1" t="s">
        <v>531</v>
      </c>
    </row>
    <row r="241" spans="1:2" x14ac:dyDescent="0.25">
      <c r="A241" s="59" t="s">
        <v>432</v>
      </c>
      <c r="B241" s="1" t="s">
        <v>532</v>
      </c>
    </row>
    <row r="242" spans="1:2" x14ac:dyDescent="0.25">
      <c r="A242" s="59" t="s">
        <v>444</v>
      </c>
      <c r="B242" s="1" t="s">
        <v>533</v>
      </c>
    </row>
    <row r="243" spans="1:2" x14ac:dyDescent="0.25">
      <c r="A243" s="59" t="s">
        <v>445</v>
      </c>
      <c r="B243" s="1" t="s">
        <v>534</v>
      </c>
    </row>
    <row r="244" spans="1:2" x14ac:dyDescent="0.25">
      <c r="A244" s="59" t="s">
        <v>433</v>
      </c>
      <c r="B244" s="1" t="s">
        <v>535</v>
      </c>
    </row>
    <row r="245" spans="1:2" x14ac:dyDescent="0.25">
      <c r="A245" s="59" t="s">
        <v>434</v>
      </c>
      <c r="B245" s="1" t="s">
        <v>536</v>
      </c>
    </row>
    <row r="246" spans="1:2" x14ac:dyDescent="0.25">
      <c r="A246" s="59" t="s">
        <v>435</v>
      </c>
      <c r="B246" s="1" t="s">
        <v>537</v>
      </c>
    </row>
    <row r="247" spans="1:2" x14ac:dyDescent="0.25">
      <c r="A247" s="59" t="s">
        <v>448</v>
      </c>
      <c r="B247" s="1" t="s">
        <v>538</v>
      </c>
    </row>
    <row r="248" spans="1:2" x14ac:dyDescent="0.25">
      <c r="A248" s="59" t="s">
        <v>436</v>
      </c>
      <c r="B248" s="1" t="s">
        <v>539</v>
      </c>
    </row>
    <row r="249" spans="1:2" x14ac:dyDescent="0.25">
      <c r="A249" s="59" t="s">
        <v>437</v>
      </c>
      <c r="B249" s="1" t="s">
        <v>540</v>
      </c>
    </row>
    <row r="250" spans="1:2" x14ac:dyDescent="0.25">
      <c r="A250" s="59" t="s">
        <v>438</v>
      </c>
      <c r="B250" s="1" t="s">
        <v>541</v>
      </c>
    </row>
    <row r="251" spans="1:2" x14ac:dyDescent="0.25">
      <c r="A251" s="59" t="s">
        <v>446</v>
      </c>
      <c r="B251" s="1" t="s">
        <v>542</v>
      </c>
    </row>
    <row r="252" spans="1:2" x14ac:dyDescent="0.25">
      <c r="A252" s="59" t="s">
        <v>439</v>
      </c>
      <c r="B252" s="1" t="s">
        <v>543</v>
      </c>
    </row>
    <row r="253" spans="1:2" x14ac:dyDescent="0.25">
      <c r="A253" s="59" t="s">
        <v>440</v>
      </c>
      <c r="B253" s="1" t="s">
        <v>544</v>
      </c>
    </row>
    <row r="254" spans="1:2" x14ac:dyDescent="0.25">
      <c r="A254" s="59" t="s">
        <v>441</v>
      </c>
      <c r="B254" s="1" t="s">
        <v>545</v>
      </c>
    </row>
    <row r="255" spans="1:2" x14ac:dyDescent="0.25">
      <c r="A255" s="59" t="s">
        <v>442</v>
      </c>
      <c r="B255" s="1" t="s">
        <v>546</v>
      </c>
    </row>
    <row r="256" spans="1:2" x14ac:dyDescent="0.25">
      <c r="A256" s="59" t="s">
        <v>447</v>
      </c>
      <c r="B256" s="1" t="s">
        <v>547</v>
      </c>
    </row>
    <row r="257" spans="1:2" x14ac:dyDescent="0.25">
      <c r="A257" s="59"/>
      <c r="B257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pareto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Jose Alvarado Garcia</dc:creator>
  <cp:lastModifiedBy>Adrian Jose Alvarado Garcia</cp:lastModifiedBy>
  <dcterms:created xsi:type="dcterms:W3CDTF">2025-12-27T17:02:09Z</dcterms:created>
  <dcterms:modified xsi:type="dcterms:W3CDTF">2026-08-23T00:07:29Z</dcterms:modified>
</cp:coreProperties>
</file>